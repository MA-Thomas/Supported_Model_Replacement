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bff5635ab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 Parameters" sheetId="1" r:id="R7cb98b3e87634526"/>
    <x:sheet xmlns:r="http://schemas.openxmlformats.org/officeDocument/2006/relationships" name="Cohort Evaluation" sheetId="2" r:id="R57e39d9c269b41f0"/>
    <x:sheet xmlns:r="http://schemas.openxmlformats.org/officeDocument/2006/relationships" name="Overview" sheetId="3" r:id="Rd73f6f76d700402a"/>
    <x:sheet xmlns:r="http://schemas.openxmlformats.org/officeDocument/2006/relationships" name="Notes" sheetId="4" r:id="Ra6cbfdd5925d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000"/>
    <x:numFmt numFmtId="202" formatCode="0.0000"/>
    <x:numFmt numFmtId="203" formatCode="0.0"/>
    <x:numFmt numFmtId="204" formatCode="0.00"/>
    <x:numFmt numFmtId="205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240"/>
      <x:name val="Carlito"/>
    </x:font>
    <x:font>
      <x:b/>
      <x:sz val="11"/>
      <x:color rgb="FF243240"/>
      <x:name val="Carlito"/>
    </x:font>
    <x:font>
      <x:b/>
      <x:sz val="11"/>
      <x:color rgb="FFFFFFFF"/>
      <x:name val="Carlito"/>
    </x:font>
    <x:font>
      <x:sz val="11"/>
      <x:color rgb="FF2432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2577A"/>
      </x:patternFill>
    </x:fill>
    <x:fill>
      <x:patternFill patternType="solid">
        <x:fgColor rgb="FFEAF3F8"/>
      </x:patternFill>
    </x:fill>
    <x:fill>
      <x:patternFill patternType="solid">
        <x:fgColor rgb="FFF3F4F6"/>
      </x:patternFill>
    </x:fill>
    <x:fill>
      <x:patternFill patternType="solid">
        <x:fgColor rgb="FF2A9D8F"/>
      </x:patternFill>
    </x:fill>
  </x:fills>
  <x:borders count="22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right"/>
    </x:xf>
    <x:xf numFmtId="200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1" fontId="0" fillId="0" borderId="2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4" fillId="2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4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6" xfId="0" applyNumberFormat="1" applyFont="1" applyFill="1" applyBorder="1"/>
    <x:xf numFmtId="0" fontId="5" fillId="3" borderId="17" xfId="0" applyNumberFormat="1" applyFont="1" applyFill="1" applyBorder="1"/>
    <x:xf numFmtId="0" fontId="5" fillId="3" borderId="18" xfId="0" applyNumberFormat="1" applyFont="1" applyFill="1" applyBorder="1"/>
    <x:xf numFmtId="0" fontId="5" fillId="3" borderId="19" xfId="0" applyNumberFormat="1" applyFont="1" applyFill="1" applyBorder="1"/>
    <x:xf numFmtId="0" fontId="5" fillId="3" borderId="20" xfId="0" applyNumberFormat="1" applyFont="1" applyFill="1" applyBorder="1"/>
    <x:xf numFmtId="0" fontId="5" fillId="3" borderId="6" xfId="0" applyNumberFormat="1" applyFont="1" applyFill="1" applyBorder="1"/>
    <x:xf numFmtId="0" fontId="5" fillId="3" borderId="21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17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9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21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15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5" fillId="3" borderId="17" xfId="0" applyNumberFormat="1" applyFont="1" applyFill="1" applyBorder="1" applyAlignment="1">
      <x:alignment vertical="top" wrapText="1"/>
    </x:xf>
    <x:xf numFmtId="0" fontId="5" fillId="3" borderId="18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9" xfId="0" applyNumberFormat="1" applyFont="1" applyFill="1" applyBorder="1" applyAlignment="1">
      <x:alignment vertical="top" wrapText="1"/>
    </x:xf>
    <x:xf numFmtId="0" fontId="5" fillId="3" borderId="20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2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2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9" xfId="0" applyNumberFormat="1" applyFont="1" applyFill="1" applyBorder="1"/>
    <x:xf numFmtId="0" fontId="0" fillId="0" borderId="9" xfId="0" applyNumberFormat="1" applyFont="1" applyFill="1" applyBorder="1"/>
    <x:xf numFmtId="0" fontId="4" fillId="2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16" xfId="0" applyNumberFormat="1" applyFont="1" applyFill="1" applyBorder="1"/>
    <x:xf numFmtId="0" fontId="0" fillId="0" borderId="16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08a48ce984b5d" /><Relationship Type="http://schemas.openxmlformats.org/officeDocument/2006/relationships/theme" Target="/xl/theme/theme1.xml" Id="R11810c41f2b14a1b" /><Relationship Type="http://schemas.openxmlformats.org/officeDocument/2006/relationships/sharedStrings" Target="/xl/sharedStrings.xml" Id="Rbd1c80719aaf4c55" /><Relationship Type="http://schemas.openxmlformats.org/officeDocument/2006/relationships/worksheet" Target="/xl/worksheets/sheet1.xml" Id="R7cb98b3e87634526" /><Relationship Type="http://schemas.openxmlformats.org/officeDocument/2006/relationships/worksheet" Target="/xl/worksheets/sheet2.xml" Id="R57e39d9c269b41f0" /><Relationship Type="http://schemas.openxmlformats.org/officeDocument/2006/relationships/worksheet" Target="/xl/worksheets/sheet3.xml" Id="Rd73f6f76d700402a" /><Relationship Type="http://schemas.openxmlformats.org/officeDocument/2006/relationships/worksheet" Target="/xl/worksheets/sheet4.xml" Id="Ra6cbfdd5925d48aa" /></Relationships>
</file>

<file path=xl/tables/table1.xml><?xml version="1.0" encoding="utf-8"?>
<x:table xmlns:x="http://schemas.openxmlformats.org/spreadsheetml/2006/main" id="1" name="PdacOnlySelections" displayName="PdacOnlySelections" ref="A1:U11" headerRowCount="1" totalsRowCount="0" totalsRowShown="0">
  <x:tableColumns count="21">
    <x:tableColumn id="1" name="model"/>
    <x:tableColumn id="2" name="selection_branch"/>
    <x:tableColumn id="3" name="selection_metric"/>
    <x:tableColumn id="4" name="fit_cohort"/>
    <x:tableColumn id="5" name="q_order"/>
    <x:tableColumn id="6" name="q_id"/>
    <x:tableColumn id="7" name="q"/>
    <x:tableColumn id="8" name="joint_grid_index"/>
    <x:tableColumn id="9" name="grid_index"/>
    <x:tableColumn id="10" name="c"/>
    <x:tableColumn id="11" name="kappa"/>
    <x:tableColumn id="12" name="gate_half_score_F"/>
    <x:tableColumn id="13" name="pdac_selection_fractional_rank"/>
    <x:tableColumn id="14" name="pdac_selection_metric_regret"/>
    <x:tableColumn id="15" name="near_optimal_rank_tolerance"/>
    <x:tableColumn id="16" name="near_optimal_joint_triples"/>
    <x:tableColumn id="17" name="near_optimal_q_count"/>
    <x:tableColumn id="18" name="near_optimal_q_ids"/>
    <x:tableColumn id="19" name="q_is_zero_or_infinity"/>
    <x:tableColumn id="20" name="c_at_boundary"/>
    <x:tableColumn id="21" name="kappa_at_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hortEvaluation" displayName="CohortEvaluation" ref="A1:Q31" headerRowCount="1" totalsRowCount="0" totalsRowShown="0">
  <x:tableColumns count="17">
    <x:tableColumn id="1" name="model"/>
    <x:tableColumn id="2" name="selection_branch"/>
    <x:tableColumn id="3" name="selection_metric"/>
    <x:tableColumn id="4" name="fit_cohort"/>
    <x:tableColumn id="5" name="q_id"/>
    <x:tableColumn id="6" name="q"/>
    <x:tableColumn id="7" name="c"/>
    <x:tableColumn id="8" name="kappa"/>
    <x:tableColumn id="9" name="cohort"/>
    <x:tableColumn id="10" name="average_precision"/>
    <x:tableColumn id="11" name="average_precision_rank"/>
    <x:tableColumn id="12" name="average_precision_fractional_rank"/>
    <x:tableColumn id="13" name="average_precision_regret"/>
    <x:tableColumn id="14" name="auroc"/>
    <x:tableColumn id="15" name="auroc_rank"/>
    <x:tableColumn id="16" name="auroc_fractional_rank"/>
    <x:tableColumn id="17" name="auroc_regr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301748b08948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436fce6373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0.220000267028809" hidden="0" customWidth="1"/>
    <x:col min="5" max="5" width="8.670000076293945" hidden="0" customWidth="1"/>
    <x:col min="6" max="6" width="6" hidden="0" customWidth="1"/>
    <x:col min="7" max="7" width="3.6700000762939453" hidden="0" customWidth="1"/>
    <x:col min="8" max="8" width="15" hidden="0" customWidth="1"/>
    <x:col min="9" max="9" width="10.779999732971191" hidden="0" customWidth="1"/>
    <x:col min="10" max="10" width="4.329999923706055" hidden="0" customWidth="1"/>
    <x:col min="11" max="11" width="7.559999942779541" hidden="0" customWidth="1"/>
    <x:col min="12" max="12" width="16.780000686645508" hidden="0" customWidth="1"/>
    <x:col min="13" max="13" width="26.889999389648438" hidden="0" customWidth="1"/>
    <x:col min="14" max="14" width="25.670000076293945" hidden="0" customWidth="1"/>
    <x:col min="15" max="15" width="25.219999313354492" hidden="0" customWidth="1"/>
    <x:col min="16" max="16" width="22.670000076293945" hidden="0" customWidth="1"/>
    <x:col min="17" max="17" width="19.889999389648438" hidden="0" customWidth="1"/>
    <x:col min="18" max="18" width="36" hidden="0" customWidth="1"/>
    <x:col min="19" max="19" width="18.440000534057617" hidden="0" customWidth="1"/>
    <x:col min="20" max="20" width="14.109999656677246" hidden="0" customWidth="1"/>
    <x:col min="21" max="21" width="18" hidden="0" customWidth="1"/>
  </x:cols>
  <x:sheetData>
    <x:row r="1" ht="42" customHeight="1">
      <x:c r="A1" s="38" t="str">
        <x:v>model</x:v>
      </x:c>
      <x:c r="B1" s="38" t="str">
        <x:v>selection_branch</x:v>
      </x:c>
      <x:c r="C1" s="38" t="str">
        <x:v>selection_metric</x:v>
      </x:c>
      <x:c r="D1" s="38" t="str">
        <x:v>fit_cohort</x:v>
      </x:c>
      <x:c r="E1" s="38" t="str">
        <x:v>q_order</x:v>
      </x:c>
      <x:c r="F1" s="38" t="str">
        <x:v>q_id</x:v>
      </x:c>
      <x:c r="G1" s="38" t="str">
        <x:v>q</x:v>
      </x:c>
      <x:c r="H1" s="38" t="str">
        <x:v>joint_grid_index</x:v>
      </x:c>
      <x:c r="I1" s="38" t="str">
        <x:v>grid_index</x:v>
      </x:c>
      <x:c r="J1" s="38" t="str">
        <x:v>c</x:v>
      </x:c>
      <x:c r="K1" s="38" t="str">
        <x:v>kappa</x:v>
      </x:c>
      <x:c r="L1" s="38" t="str">
        <x:v>gate_half_score_F</x:v>
      </x:c>
      <x:c r="M1" s="38" t="str">
        <x:v>pdac_selection_fractional_rank</x:v>
      </x:c>
      <x:c r="N1" s="38" t="str">
        <x:v>pdac_selection_metric_regret</x:v>
      </x:c>
      <x:c r="O1" s="38" t="str">
        <x:v>near_optimal_rank_tolerance</x:v>
      </x:c>
      <x:c r="P1" s="38" t="str">
        <x:v>near_optimal_joint_triples</x:v>
      </x:c>
      <x:c r="Q1" s="38" t="str">
        <x:v>near_optimal_q_count</x:v>
      </x:c>
      <x:c r="R1" s="38" t="str">
        <x:v>near_optimal_q_ids</x:v>
      </x:c>
      <x:c r="S1" s="38" t="str">
        <x:v>q_is_zero_or_infinity</x:v>
      </x:c>
      <x:c r="T1" s="38" t="str">
        <x:v>c_at_boundary</x:v>
      </x:c>
      <x:c r="U1" s="38" t="str">
        <x:v>kappa_at_boundary</x:v>
      </x:c>
    </x:row>
    <x:row r="2" ht="18" customHeight="1">
      <x:c r="A2" t="str">
        <x:v>focal_hla</x:v>
      </x:c>
      <x:c r="B2" t="str">
        <x:v>pr</x:v>
      </x:c>
      <x:c r="C2" t="str">
        <x:v>average_precision</x:v>
      </x:c>
      <x:c r="D2" t="str">
        <x:v>pdac</x:v>
      </x:c>
      <x:c r="E2" t="str">
        <x:v>3</x:v>
      </x:c>
      <x:c r="F2" t="str">
        <x:v>q1p5</x:v>
      </x:c>
      <x:c r="G2" s="100" t="str">
        <x:v>1.5</x:v>
      </x:c>
      <x:c r="H2" t="str">
        <x:v>119591</x:v>
      </x:c>
      <x:c r="I2" t="str">
        <x:v>24332</x:v>
      </x:c>
      <x:c r="J2" s="102" t="str">
        <x:v>-1.25</x:v>
      </x:c>
      <x:c r="K2" s="104" t="str">
        <x:v>0.0033137778446013</x:v>
      </x:c>
      <x:c r="L2" s="104" t="str">
        <x:v>0.2865047968601901</x:v>
      </x:c>
      <x:c r="M2" s="104" t="str">
        <x:v>1.3778279919534843e-05</x:v>
      </x:c>
      <x:c r="N2" s="104" t="str">
        <x:v>0.0</x:v>
      </x:c>
      <x:c r="O2" s="104" t="str">
        <x:v>0.01</x:v>
      </x:c>
      <x:c r="P2" s="106" t="str">
        <x:v>2552</x:v>
      </x:c>
      <x:c r="Q2" s="106" t="str">
        <x:v>8</x:v>
      </x:c>
      <x:c r="R2" t="str">
        <x:v>q0|q0p5|q1|q1p5|q2|q3|q4|qinf</x:v>
      </x:c>
      <x:c r="S2" t="str">
        <x:v>False</x:v>
      </x:c>
      <x:c r="T2" t="str">
        <x:v>False</x:v>
      </x:c>
      <x:c r="U2" t="str">
        <x:v>False</x:v>
      </x:c>
    </x:row>
    <x:row r="3" ht="18" customHeight="1">
      <x:c r="A3" t="str">
        <x:v>full_hla</x:v>
      </x:c>
      <x:c r="B3" t="str">
        <x:v>pr</x:v>
      </x:c>
      <x:c r="C3" t="str">
        <x:v>average_precision</x:v>
      </x:c>
      <x:c r="D3" t="str">
        <x:v>pdac</x:v>
      </x:c>
      <x:c r="E3" t="str">
        <x:v>4</x:v>
      </x:c>
      <x:c r="F3" t="str">
        <x:v>q2</x:v>
      </x:c>
      <x:c r="G3" s="100" t="str">
        <x:v>2.0</x:v>
      </x:c>
      <x:c r="H3" t="str">
        <x:v>151438</x:v>
      </x:c>
      <x:c r="I3" t="str">
        <x:v>24426</x:v>
      </x:c>
      <x:c r="J3" s="102" t="str">
        <x:v>-1.2</x:v>
      </x:c>
      <x:c r="K3" s="104" t="str">
        <x:v>0.0005490561801685</x:v>
      </x:c>
      <x:c r="L3" s="104" t="str">
        <x:v>0.30119421191220214</x:v>
      </x:c>
      <x:c r="M3" s="104" t="str">
        <x:v>3.542986265023246e-05</x:v>
      </x:c>
      <x:c r="N3" s="104" t="str">
        <x:v>0.0</x:v>
      </x:c>
      <x:c r="O3" s="104" t="str">
        <x:v>0.01</x:v>
      </x:c>
      <x:c r="P3" s="106" t="str">
        <x:v>2563</x:v>
      </x:c>
      <x:c r="Q3" s="106" t="str">
        <x:v>8</x:v>
      </x:c>
      <x:c r="R3" t="str">
        <x:v>q0|q0p5|q1|q1p5|q2|q3|q4|qinf</x:v>
      </x:c>
      <x:c r="S3" t="str">
        <x:v>False</x:v>
      </x:c>
      <x:c r="T3" t="str">
        <x:v>False</x:v>
      </x:c>
      <x:c r="U3" t="str">
        <x:v>False</x:v>
      </x:c>
    </x:row>
    <x:row r="4" ht="18" customHeight="1">
      <x:c r="A4" t="str">
        <x:v>full_q_mono_pn</x:v>
      </x:c>
      <x:c r="B4" t="str">
        <x:v>pr</x:v>
      </x:c>
      <x:c r="C4" t="str">
        <x:v>average_precision</x:v>
      </x:c>
      <x:c r="D4" t="str">
        <x:v>pdac</x:v>
      </x:c>
      <x:c r="E4" t="str">
        <x:v>3</x:v>
      </x:c>
      <x:c r="F4" t="str">
        <x:v>q1p5</x:v>
      </x:c>
      <x:c r="G4" s="100" t="str">
        <x:v>1.5</x:v>
      </x:c>
      <x:c r="H4" t="str">
        <x:v>119911</x:v>
      </x:c>
      <x:c r="I4" t="str">
        <x:v>24652</x:v>
      </x:c>
      <x:c r="J4" s="102" t="str">
        <x:v>-1.1</x:v>
      </x:c>
      <x:c r="K4" s="104" t="str">
        <x:v>0.0005490561801685</x:v>
      </x:c>
      <x:c r="L4" s="104" t="str">
        <x:v>0.33287108369807955</x:v>
      </x:c>
      <x:c r="M4" s="104" t="str">
        <x:v>3.542986265023246e-05</x:v>
      </x:c>
      <x:c r="N4" s="104" t="str">
        <x:v>0.0</x:v>
      </x:c>
      <x:c r="O4" s="104" t="str">
        <x:v>0.01</x:v>
      </x:c>
      <x:c r="P4" s="106" t="str">
        <x:v>2559</x:v>
      </x:c>
      <x:c r="Q4" s="106" t="str">
        <x:v>7</x:v>
      </x:c>
      <x:c r="R4" t="str">
        <x:v>q0|q0p5|q1|q1p5|q2|q3|q4</x:v>
      </x:c>
      <x:c r="S4" t="str">
        <x:v>False</x:v>
      </x:c>
      <x:c r="T4" t="str">
        <x:v>False</x:v>
      </x:c>
      <x:c r="U4" t="str">
        <x:v>False</x:v>
      </x:c>
    </x:row>
    <x:row r="5" ht="18" customHeight="1">
      <x:c r="A5" t="str">
        <x:v>mono_q_full_pn</x:v>
      </x:c>
      <x:c r="B5" t="str">
        <x:v>pr</x:v>
      </x:c>
      <x:c r="C5" t="str">
        <x:v>average_precision</x:v>
      </x:c>
      <x:c r="D5" t="str">
        <x:v>pdac</x:v>
      </x:c>
      <x:c r="E5" t="str">
        <x:v>7</x:v>
      </x:c>
      <x:c r="F5" t="str">
        <x:v>qinf</x:v>
      </x:c>
      <x:c r="G5" s="100" t="str">
        <x:v>inf</x:v>
      </x:c>
      <x:c r="H5" t="str">
        <x:v>248526</x:v>
      </x:c>
      <x:c r="I5" t="str">
        <x:v>26255</x:v>
      </x:c>
      <x:c r="J5" s="102" t="str">
        <x:v>-0.4</x:v>
      </x:c>
      <x:c r="K5" s="104" t="str">
        <x:v>0.0040040826438662</x:v>
      </x:c>
      <x:c r="L5" s="104" t="str">
        <x:v>0.6703200460356393</x:v>
      </x:c>
      <x:c r="M5" s="104" t="str">
        <x:v>7.6764702408837e-05</x:v>
      </x:c>
      <x:c r="N5" s="104" t="str">
        <x:v>0.0</x:v>
      </x:c>
      <x:c r="O5" s="104" t="str">
        <x:v>0.01</x:v>
      </x:c>
      <x:c r="P5" s="106" t="str">
        <x:v>2560</x:v>
      </x:c>
      <x:c r="Q5" s="106" t="str">
        <x:v>8</x:v>
      </x:c>
      <x:c r="R5" t="str">
        <x:v>q0|q0p5|q1|q1p5|q2|q3|q4|qinf</x:v>
      </x:c>
      <x:c r="S5" t="str">
        <x:v>True</x:v>
      </x:c>
      <x:c r="T5" t="str">
        <x:v>False</x:v>
      </x:c>
      <x:c r="U5" t="str">
        <x:v>False</x:v>
      </x:c>
    </x:row>
    <x:row r="6" ht="18" customHeight="1">
      <x:c r="A6" t="str">
        <x:v>old_monoallelic</x:v>
      </x:c>
      <x:c r="B6" t="str">
        <x:v>pr</x:v>
      </x:c>
      <x:c r="C6" t="str">
        <x:v>average_precision</x:v>
      </x:c>
      <x:c r="D6" t="str">
        <x:v>pdac</x:v>
      </x:c>
      <x:c r="E6" t="str">
        <x:v>7</x:v>
      </x:c>
      <x:c r="F6" t="str">
        <x:v>qinf</x:v>
      </x:c>
      <x:c r="G6" s="100" t="str">
        <x:v>inf</x:v>
      </x:c>
      <x:c r="H6" t="str">
        <x:v>248642</x:v>
      </x:c>
      <x:c r="I6" t="str">
        <x:v>26371</x:v>
      </x:c>
      <x:c r="J6" s="102" t="str">
        <x:v>-0.35</x:v>
      </x:c>
      <x:c r="K6" s="104" t="str">
        <x:v>0.0053182958969449</x:v>
      </x:c>
      <x:c r="L6" s="104" t="str">
        <x:v>0.7046880897187134</x:v>
      </x:c>
      <x:c r="M6" s="104" t="str">
        <x:v>0.0</x:v>
      </x:c>
      <x:c r="N6" s="104" t="str">
        <x:v>0.0</x:v>
      </x:c>
      <x:c r="O6" s="104" t="str">
        <x:v>0.01</x:v>
      </x:c>
      <x:c r="P6" s="106" t="str">
        <x:v>2541</x:v>
      </x:c>
      <x:c r="Q6" s="106" t="str">
        <x:v>8</x:v>
      </x:c>
      <x:c r="R6" t="str">
        <x:v>q0|q0p5|q1|q1p5|q2|q3|q4|qinf</x:v>
      </x:c>
      <x:c r="S6" t="str">
        <x:v>True</x:v>
      </x:c>
      <x:c r="T6" t="str">
        <x:v>False</x:v>
      </x:c>
      <x:c r="U6" t="str">
        <x:v>False</x:v>
      </x:c>
    </x:row>
    <x:row r="7" ht="18" customHeight="1">
      <x:c r="A7" t="str">
        <x:v>focal_hla</x:v>
      </x:c>
      <x:c r="B7" t="str">
        <x:v>roc</x:v>
      </x:c>
      <x:c r="C7" t="str">
        <x:v>auroc</x:v>
      </x:c>
      <x:c r="D7" t="str">
        <x:v>pdac</x:v>
      </x:c>
      <x:c r="E7" t="str">
        <x:v>2</x:v>
      </x:c>
      <x:c r="F7" t="str">
        <x:v>q1</x:v>
      </x:c>
      <x:c r="G7" s="100" t="str">
        <x:v>1.0</x:v>
      </x:c>
      <x:c r="H7" t="str">
        <x:v>87838</x:v>
      </x:c>
      <x:c r="I7" t="str">
        <x:v>24332</x:v>
      </x:c>
      <x:c r="J7" s="102" t="str">
        <x:v>-1.25</x:v>
      </x:c>
      <x:c r="K7" s="104" t="str">
        <x:v>0.0033137778446013</x:v>
      </x:c>
      <x:c r="L7" s="104" t="str">
        <x:v>0.2865047968601901</x:v>
      </x:c>
      <x:c r="M7" s="104" t="str">
        <x:v>8.857465662558115e-05</x:v>
      </x:c>
      <x:c r="N7" s="104" t="str">
        <x:v>0.0</x:v>
      </x:c>
      <x:c r="O7" s="104" t="str">
        <x:v>0.01</x:v>
      </x:c>
      <x:c r="P7" s="106" t="str">
        <x:v>2510</x:v>
      </x:c>
      <x:c r="Q7" s="106" t="str">
        <x:v>8</x:v>
      </x:c>
      <x:c r="R7" t="str">
        <x:v>q0|q0p5|q1|q1p5|q2|q3|q4|qinf</x:v>
      </x:c>
      <x:c r="S7" t="str">
        <x:v>False</x:v>
      </x:c>
      <x:c r="T7" t="str">
        <x:v>False</x:v>
      </x:c>
      <x:c r="U7" t="str">
        <x:v>False</x:v>
      </x:c>
    </x:row>
    <x:row r="8" ht="18" customHeight="1">
      <x:c r="A8" t="str">
        <x:v>full_hla</x:v>
      </x:c>
      <x:c r="B8" t="str">
        <x:v>roc</x:v>
      </x:c>
      <x:c r="C8" t="str">
        <x:v>auroc</x:v>
      </x:c>
      <x:c r="D8" t="str">
        <x:v>pdac</x:v>
      </x:c>
      <x:c r="E8" t="str">
        <x:v>4</x:v>
      </x:c>
      <x:c r="F8" t="str">
        <x:v>q2</x:v>
      </x:c>
      <x:c r="G8" s="100" t="str">
        <x:v>2.0</x:v>
      </x:c>
      <x:c r="H8" t="str">
        <x:v>151438</x:v>
      </x:c>
      <x:c r="I8" t="str">
        <x:v>24426</x:v>
      </x:c>
      <x:c r="J8" s="102" t="str">
        <x:v>-1.2</x:v>
      </x:c>
      <x:c r="K8" s="104" t="str">
        <x:v>0.0005490561801685</x:v>
      </x:c>
      <x:c r="L8" s="104" t="str">
        <x:v>0.30119421191220214</x:v>
      </x:c>
      <x:c r="M8" s="104" t="str">
        <x:v>3.542986265023246e-05</x:v>
      </x:c>
      <x:c r="N8" s="104" t="str">
        <x:v>0.0</x:v>
      </x:c>
      <x:c r="O8" s="104" t="str">
        <x:v>0.01</x:v>
      </x:c>
      <x:c r="P8" s="106" t="str">
        <x:v>2534</x:v>
      </x:c>
      <x:c r="Q8" s="106" t="str">
        <x:v>8</x:v>
      </x:c>
      <x:c r="R8" t="str">
        <x:v>q0|q0p5|q1|q1p5|q2|q3|q4|qinf</x:v>
      </x:c>
      <x:c r="S8" t="str">
        <x:v>False</x:v>
      </x:c>
      <x:c r="T8" t="str">
        <x:v>False</x:v>
      </x:c>
      <x:c r="U8" t="str">
        <x:v>False</x:v>
      </x:c>
    </x:row>
    <x:row r="9" ht="18" customHeight="1">
      <x:c r="A9" t="str">
        <x:v>full_q_mono_pn</x:v>
      </x:c>
      <x:c r="B9" t="str">
        <x:v>roc</x:v>
      </x:c>
      <x:c r="C9" t="str">
        <x:v>auroc</x:v>
      </x:c>
      <x:c r="D9" t="str">
        <x:v>pdac</x:v>
      </x:c>
      <x:c r="E9" t="str">
        <x:v>3</x:v>
      </x:c>
      <x:c r="F9" t="str">
        <x:v>q1p5</x:v>
      </x:c>
      <x:c r="G9" s="100" t="str">
        <x:v>1.5</x:v>
      </x:c>
      <x:c r="H9" t="str">
        <x:v>119911</x:v>
      </x:c>
      <x:c r="I9" t="str">
        <x:v>24652</x:v>
      </x:c>
      <x:c r="J9" s="102" t="str">
        <x:v>-1.1</x:v>
      </x:c>
      <x:c r="K9" s="104" t="str">
        <x:v>0.0005490561801685</x:v>
      </x:c>
      <x:c r="L9" s="104" t="str">
        <x:v>0.33287108369807955</x:v>
      </x:c>
      <x:c r="M9" s="104" t="str">
        <x:v>3.542986265023246e-05</x:v>
      </x:c>
      <x:c r="N9" s="104" t="str">
        <x:v>0.0</x:v>
      </x:c>
      <x:c r="O9" s="104" t="str">
        <x:v>0.01</x:v>
      </x:c>
      <x:c r="P9" s="106" t="str">
        <x:v>2564</x:v>
      </x:c>
      <x:c r="Q9" s="106" t="str">
        <x:v>7</x:v>
      </x:c>
      <x:c r="R9" t="str">
        <x:v>q0|q0p5|q1|q1p5|q2|q3|q4</x:v>
      </x:c>
      <x:c r="S9" t="str">
        <x:v>False</x:v>
      </x:c>
      <x:c r="T9" t="str">
        <x:v>False</x:v>
      </x:c>
      <x:c r="U9" t="str">
        <x:v>False</x:v>
      </x:c>
    </x:row>
    <x:row r="10" ht="18" customHeight="1">
      <x:c r="A10" t="str">
        <x:v>mono_q_full_pn</x:v>
      </x:c>
      <x:c r="B10" t="str">
        <x:v>roc</x:v>
      </x:c>
      <x:c r="C10" t="str">
        <x:v>auroc</x:v>
      </x:c>
      <x:c r="D10" t="str">
        <x:v>pdac</x:v>
      </x:c>
      <x:c r="E10" t="str">
        <x:v>7</x:v>
      </x:c>
      <x:c r="F10" t="str">
        <x:v>qinf</x:v>
      </x:c>
      <x:c r="G10" s="100" t="str">
        <x:v>inf</x:v>
      </x:c>
      <x:c r="H10" t="str">
        <x:v>248526</x:v>
      </x:c>
      <x:c r="I10" t="str">
        <x:v>26255</x:v>
      </x:c>
      <x:c r="J10" s="102" t="str">
        <x:v>-0.4</x:v>
      </x:c>
      <x:c r="K10" s="104" t="str">
        <x:v>0.0040040826438662</x:v>
      </x:c>
      <x:c r="L10" s="104" t="str">
        <x:v>0.6703200460356393</x:v>
      </x:c>
      <x:c r="M10" s="104" t="str">
        <x:v>7.6764702408837e-05</x:v>
      </x:c>
      <x:c r="N10" s="104" t="str">
        <x:v>0.0</x:v>
      </x:c>
      <x:c r="O10" s="104" t="str">
        <x:v>0.01</x:v>
      </x:c>
      <x:c r="P10" s="106" t="str">
        <x:v>2525</x:v>
      </x:c>
      <x:c r="Q10" s="106" t="str">
        <x:v>8</x:v>
      </x:c>
      <x:c r="R10" t="str">
        <x:v>q0|q0p5|q1|q1p5|q2|q3|q4|qinf</x:v>
      </x:c>
      <x:c r="S10" t="str">
        <x:v>True</x:v>
      </x:c>
      <x:c r="T10" t="str">
        <x:v>False</x:v>
      </x:c>
      <x:c r="U10" t="str">
        <x:v>False</x:v>
      </x:c>
    </x:row>
    <x:row r="11" ht="18" customHeight="1">
      <x:c r="A11" t="str">
        <x:v>old_monoallelic</x:v>
      </x:c>
      <x:c r="B11" t="str">
        <x:v>roc</x:v>
      </x:c>
      <x:c r="C11" t="str">
        <x:v>auroc</x:v>
      </x:c>
      <x:c r="D11" t="str">
        <x:v>pdac</x:v>
      </x:c>
      <x:c r="E11" t="str">
        <x:v>7</x:v>
      </x:c>
      <x:c r="F11" t="str">
        <x:v>qinf</x:v>
      </x:c>
      <x:c r="G11" s="100" t="str">
        <x:v>inf</x:v>
      </x:c>
      <x:c r="H11" t="str">
        <x:v>248741</x:v>
      </x:c>
      <x:c r="I11" t="str">
        <x:v>26470</x:v>
      </x:c>
      <x:c r="J11" s="102" t="str">
        <x:v>-0.3</x:v>
      </x:c>
      <x:c r="K11" s="104" t="str">
        <x:v>0.001414213562373</x:v>
      </x:c>
      <x:c r="L11" s="104" t="str">
        <x:v>0.7408182206817179</x:v>
      </x:c>
      <x:c r="M11" s="104" t="str">
        <x:v>5.511311967813938e-05</x:v>
      </x:c>
      <x:c r="N11" s="104" t="str">
        <x:v>0.0</x:v>
      </x:c>
      <x:c r="O11" s="104" t="str">
        <x:v>0.01</x:v>
      </x:c>
      <x:c r="P11" s="106" t="str">
        <x:v>2563</x:v>
      </x:c>
      <x:c r="Q11" s="106" t="str">
        <x:v>8</x:v>
      </x:c>
      <x:c r="R11" t="str">
        <x:v>q0|q0p5|q1|q1p5|q2|q3|q4|qinf</x:v>
      </x:c>
      <x:c r="S11" t="str">
        <x:v>True</x:v>
      </x:c>
      <x:c r="T11" t="str">
        <x:v>False</x:v>
      </x:c>
      <x:c r="U11" t="str">
        <x:v>False</x:v>
      </x:c>
    </x:row>
  </x:sheetData>
  <x:conditionalFormatting sqref="M2:M11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301748b08948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0.220000267028809" hidden="0" customWidth="1"/>
    <x:col min="5" max="5" width="6" hidden="0" customWidth="1"/>
    <x:col min="6" max="6" width="3.6700000762939453" hidden="0" customWidth="1"/>
    <x:col min="7" max="7" width="4.329999923706055" hidden="0" customWidth="1"/>
    <x:col min="8" max="8" width="7.559999942779541" hidden="0" customWidth="1"/>
    <x:col min="9" max="9" width="19" hidden="0" customWidth="1"/>
    <x:col min="10" max="10" width="16.889999389648438" hidden="0" customWidth="1"/>
    <x:col min="11" max="11" width="21.219999313354492" hidden="0" customWidth="1"/>
    <x:col min="12" max="12" width="29.329999923706055" hidden="0" customWidth="1"/>
    <x:col min="13" max="13" width="22.329999923706055" hidden="0" customWidth="1"/>
    <x:col min="14" max="14" width="7.110000133514404" hidden="0" customWidth="1"/>
    <x:col min="15" max="15" width="11.4399995803833" hidden="0" customWidth="1"/>
    <x:col min="16" max="16" width="19.670000076293945" hidden="0" customWidth="1"/>
    <x:col min="17" max="17" width="12.670000076293945" hidden="0" customWidth="1"/>
  </x:cols>
  <x:sheetData>
    <x:row r="1" ht="42" customHeight="1">
      <x:c r="A1" s="38" t="str">
        <x:v>model</x:v>
      </x:c>
      <x:c r="B1" s="38" t="str">
        <x:v>selection_branch</x:v>
      </x:c>
      <x:c r="C1" s="38" t="str">
        <x:v>selection_metric</x:v>
      </x:c>
      <x:c r="D1" s="38" t="str">
        <x:v>fit_cohort</x:v>
      </x:c>
      <x:c r="E1" s="38" t="str">
        <x:v>q_id</x:v>
      </x:c>
      <x:c r="F1" s="38" t="str">
        <x:v>q</x:v>
      </x:c>
      <x:c r="G1" s="38" t="str">
        <x:v>c</x:v>
      </x:c>
      <x:c r="H1" s="38" t="str">
        <x:v>kappa</x:v>
      </x:c>
      <x:c r="I1" s="38" t="str">
        <x:v>cohort</x:v>
      </x:c>
      <x:c r="J1" s="38" t="str">
        <x:v>average_precision</x:v>
      </x:c>
      <x:c r="K1" s="38" t="str">
        <x:v>average_precision_rank</x:v>
      </x:c>
      <x:c r="L1" s="38" t="str">
        <x:v>average_precision_fractional_rank</x:v>
      </x:c>
      <x:c r="M1" s="38" t="str">
        <x:v>average_precision_regret</x:v>
      </x:c>
      <x:c r="N1" s="38" t="str">
        <x:v>auroc</x:v>
      </x:c>
      <x:c r="O1" s="38" t="str">
        <x:v>auroc_rank</x:v>
      </x:c>
      <x:c r="P1" s="38" t="str">
        <x:v>auroc_fractional_rank</x:v>
      </x:c>
      <x:c r="Q1" s="38" t="str">
        <x:v>auroc_regret</x:v>
      </x:c>
    </x:row>
    <x:row r="2" ht="18" customHeight="1">
      <x:c r="A2" t="str">
        <x:v>focal_hla</x:v>
      </x:c>
      <x:c r="B2" t="str">
        <x:v>pr</x:v>
      </x:c>
      <x:c r="C2" t="str">
        <x:v>average_precision</x:v>
      </x:c>
      <x:c r="D2" t="str">
        <x:v>pdac</x:v>
      </x:c>
      <x:c r="E2" t="str">
        <x:v>q1p5</x:v>
      </x:c>
      <x:c r="F2" s="100" t="str">
        <x:v>1.5</x:v>
      </x:c>
      <x:c r="G2" s="102" t="str">
        <x:v>-1.25</x:v>
      </x:c>
      <x:c r="H2" s="104" t="str">
        <x:v>0.0033137778446013</x:v>
      </x:c>
      <x:c r="I2" t="str">
        <x:v>covid_nonspike</x:v>
      </x:c>
      <x:c r="J2" s="108" t="str">
        <x:v>0.5695407306718747</x:v>
      </x:c>
      <x:c r="K2" s="108" t="str">
        <x:v>70876.0</x:v>
      </x:c>
      <x:c r="L2" s="108" t="str">
        <x:v>0.2790101683705806</x:v>
      </x:c>
      <x:c r="M2" s="108" t="str">
        <x:v>0.012203317606494846</x:v>
      </x:c>
      <x:c r="N2" s="108" t="str">
        <x:v>0.7288401402444803</x:v>
      </x:c>
      <x:c r="O2" s="108" t="str">
        <x:v>62985.5</x:v>
      </x:c>
      <x:c r="P2" s="108" t="str">
        <x:v>0.2479480204548407</x:v>
      </x:c>
      <x:c r="Q2" s="108" t="str">
        <x:v>0.005245743706370987</x:v>
      </x:c>
    </x:row>
    <x:row r="3" ht="18" customHeight="1">
      <x:c r="A3" t="str">
        <x:v>focal_hla</x:v>
      </x:c>
      <x:c r="B3" t="str">
        <x:v>pr</x:v>
      </x:c>
      <x:c r="C3" t="str">
        <x:v>average_precision</x:v>
      </x:c>
      <x:c r="D3" t="str">
        <x:v>pdac</x:v>
      </x:c>
      <x:c r="E3" t="str">
        <x:v>q1p5</x:v>
      </x:c>
      <x:c r="F3" s="100" t="str">
        <x:v>1.5</x:v>
      </x:c>
      <x:c r="G3" s="102" t="str">
        <x:v>-1.25</x:v>
      </x:c>
      <x:c r="H3" s="104" t="str">
        <x:v>0.0033137778446013</x:v>
      </x:c>
      <x:c r="I3" t="str">
        <x:v>covid_spike</x:v>
      </x:c>
      <x:c r="J3" s="108" t="str">
        <x:v>0.6575039533917654</x:v>
      </x:c>
      <x:c r="K3" s="108" t="str">
        <x:v>166827.5</x:v>
      </x:c>
      <x:c r="L3" s="108" t="str">
        <x:v>0.6567377757132228</x:v>
      </x:c>
      <x:c r="M3" s="108" t="str">
        <x:v>0.004532472878992944</x:v>
      </x:c>
      <x:c r="N3" s="108" t="str">
        <x:v>0.5584406154161576</x:v>
      </x:c>
      <x:c r="O3" s="108" t="str">
        <x:v>62183.5</x:v>
      </x:c>
      <x:c r="P3" s="108" t="str">
        <x:v>0.24479082602756444</x:v>
      </x:c>
      <x:c r="Q3" s="108" t="str">
        <x:v>0.0012942191544434989</x:v>
      </x:c>
    </x:row>
    <x:row r="4" ht="18" customHeight="1">
      <x:c r="A4" t="str">
        <x:v>focal_hla</x:v>
      </x:c>
      <x:c r="B4" t="str">
        <x:v>pr</x:v>
      </x:c>
      <x:c r="C4" t="str">
        <x:v>average_precision</x:v>
      </x:c>
      <x:c r="D4" t="str">
        <x:v>pdac</x:v>
      </x:c>
      <x:c r="E4" t="str">
        <x:v>q1p5</x:v>
      </x:c>
      <x:c r="F4" s="100" t="str">
        <x:v>1.5</x:v>
      </x:c>
      <x:c r="G4" s="102" t="str">
        <x:v>-1.25</x:v>
      </x:c>
      <x:c r="H4" s="104" t="str">
        <x:v>0.0033137778446013</x:v>
      </x:c>
      <x:c r="I4" t="str">
        <x:v>pdac</x:v>
      </x:c>
      <x:c r="J4" s="108" t="str">
        <x:v>0.250762885229068</x:v>
      </x:c>
      <x:c r="K4" s="108" t="str">
        <x:v>4.5</x:v>
      </x:c>
      <x:c r="L4" s="108" t="str">
        <x:v>1.3778279919534845e-05</x:v>
      </x:c>
      <x:c r="M4" s="108" t="str">
        <x:v>0.0</x:v>
      </x:c>
      <x:c r="N4" s="108" t="str">
        <x:v>0.7279176201372998</x:v>
      </x:c>
      <x:c r="O4" s="108" t="str">
        <x:v>23.5</x:v>
      </x:c>
      <x:c r="P4" s="108" t="str">
        <x:v>8.857465662558115e-05</x:v>
      </x:c>
      <x:c r="Q4" s="108" t="str">
        <x:v>0.0</x:v>
      </x:c>
    </x:row>
    <x:row r="5" ht="18" customHeight="1">
      <x:c r="A5" t="str">
        <x:v>full_hla</x:v>
      </x:c>
      <x:c r="B5" t="str">
        <x:v>pr</x:v>
      </x:c>
      <x:c r="C5" t="str">
        <x:v>average_precision</x:v>
      </x:c>
      <x:c r="D5" t="str">
        <x:v>pdac</x:v>
      </x:c>
      <x:c r="E5" t="str">
        <x:v>q2</x:v>
      </x:c>
      <x:c r="F5" s="100" t="str">
        <x:v>2.0</x:v>
      </x:c>
      <x:c r="G5" s="102" t="str">
        <x:v>-1.2</x:v>
      </x:c>
      <x:c r="H5" s="104" t="str">
        <x:v>0.0005490561801685</x:v>
      </x:c>
      <x:c r="I5" t="str">
        <x:v>covid_nonspike</x:v>
      </x:c>
      <x:c r="J5" s="108" t="str">
        <x:v>0.5733900102497456</x:v>
      </x:c>
      <x:c r="K5" s="108" t="str">
        <x:v>68358.0</x:v>
      </x:c>
      <x:c r="L5" s="108" t="str">
        <x:v>0.2690976801313267</x:v>
      </x:c>
      <x:c r="M5" s="108" t="str">
        <x:v>0.018897949312255302</x:v>
      </x:c>
      <x:c r="N5" s="108" t="str">
        <x:v>0.7331217031491835</x:v>
      </x:c>
      <x:c r="O5" s="108" t="str">
        <x:v>61864.5</x:v>
      </x:c>
      <x:c r="P5" s="108" t="str">
        <x:v>0.24353503422918396</x:v>
      </x:c>
      <x:c r="Q5" s="108" t="str">
        <x:v>0.008434410436210849</x:v>
      </x:c>
    </x:row>
    <x:row r="6" ht="18" customHeight="1">
      <x:c r="A6" t="str">
        <x:v>full_hla</x:v>
      </x:c>
      <x:c r="B6" t="str">
        <x:v>pr</x:v>
      </x:c>
      <x:c r="C6" t="str">
        <x:v>average_precision</x:v>
      </x:c>
      <x:c r="D6" t="str">
        <x:v>pdac</x:v>
      </x:c>
      <x:c r="E6" t="str">
        <x:v>q2</x:v>
      </x:c>
      <x:c r="F6" s="100" t="str">
        <x:v>2.0</x:v>
      </x:c>
      <x:c r="G6" s="102" t="str">
        <x:v>-1.2</x:v>
      </x:c>
      <x:c r="H6" s="104" t="str">
        <x:v>0.0005490561801685</x:v>
      </x:c>
      <x:c r="I6" t="str">
        <x:v>covid_spike</x:v>
      </x:c>
      <x:c r="J6" s="108" t="str">
        <x:v>0.6608890402378582</x:v>
      </x:c>
      <x:c r="K6" s="108" t="str">
        <x:v>86549.0</x:v>
      </x:c>
      <x:c r="L6" s="108" t="str">
        <x:v>0.34070930585025766</x:v>
      </x:c>
      <x:c r="M6" s="108" t="str">
        <x:v>0.004964517307158189</x:v>
      </x:c>
      <x:c r="N6" s="108" t="str">
        <x:v>0.5625738587663771</x:v>
      </x:c>
      <x:c r="O6" s="108" t="str">
        <x:v>46710.0</x:v>
      </x:c>
      <x:c r="P6" s="108" t="str">
        <x:v>0.1838770505033009</x:v>
      </x:c>
      <x:c r="Q6" s="108" t="str">
        <x:v>0.001667250417880406</x:v>
      </x:c>
    </x:row>
    <x:row r="7" ht="18" customHeight="1">
      <x:c r="A7" t="str">
        <x:v>full_hla</x:v>
      </x:c>
      <x:c r="B7" t="str">
        <x:v>pr</x:v>
      </x:c>
      <x:c r="C7" t="str">
        <x:v>average_precision</x:v>
      </x:c>
      <x:c r="D7" t="str">
        <x:v>pdac</x:v>
      </x:c>
      <x:c r="E7" t="str">
        <x:v>q2</x:v>
      </x:c>
      <x:c r="F7" s="100" t="str">
        <x:v>2.0</x:v>
      </x:c>
      <x:c r="G7" s="102" t="str">
        <x:v>-1.2</x:v>
      </x:c>
      <x:c r="H7" s="104" t="str">
        <x:v>0.0005490561801685</x:v>
      </x:c>
      <x:c r="I7" t="str">
        <x:v>pdac</x:v>
      </x:c>
      <x:c r="J7" s="108" t="str">
        <x:v>0.2463872993229232</x:v>
      </x:c>
      <x:c r="K7" s="108" t="str">
        <x:v>10.0</x:v>
      </x:c>
      <x:c r="L7" s="108" t="str">
        <x:v>3.542986265023246e-05</x:v>
      </x:c>
      <x:c r="M7" s="108" t="str">
        <x:v>0.0</x:v>
      </x:c>
      <x:c r="N7" s="108" t="str">
        <x:v>0.7292906178489702</x:v>
      </x:c>
      <x:c r="O7" s="108" t="str">
        <x:v>10.0</x:v>
      </x:c>
      <x:c r="P7" s="108" t="str">
        <x:v>3.542986265023246e-05</x:v>
      </x:c>
      <x:c r="Q7" s="108" t="str">
        <x:v>0.0</x:v>
      </x:c>
    </x:row>
    <x:row r="8" ht="18" customHeight="1">
      <x:c r="A8" t="str">
        <x:v>full_q_mono_pn</x:v>
      </x:c>
      <x:c r="B8" t="str">
        <x:v>pr</x:v>
      </x:c>
      <x:c r="C8" t="str">
        <x:v>average_precision</x:v>
      </x:c>
      <x:c r="D8" t="str">
        <x:v>pdac</x:v>
      </x:c>
      <x:c r="E8" t="str">
        <x:v>q1p5</x:v>
      </x:c>
      <x:c r="F8" s="100" t="str">
        <x:v>1.5</x:v>
      </x:c>
      <x:c r="G8" s="102" t="str">
        <x:v>-1.1</x:v>
      </x:c>
      <x:c r="H8" s="104" t="str">
        <x:v>0.0005490561801685</x:v>
      </x:c>
      <x:c r="I8" t="str">
        <x:v>covid_nonspike</x:v>
      </x:c>
      <x:c r="J8" s="108" t="str">
        <x:v>0.5745513278795431</x:v>
      </x:c>
      <x:c r="K8" s="108" t="str">
        <x:v>63496.5</x:v>
      </x:c>
      <x:c r="L8" s="108" t="str">
        <x:v>0.24995964932309278</x:v>
      </x:c>
      <x:c r="M8" s="108" t="str">
        <x:v>0.017088531025209464</x:v>
      </x:c>
      <x:c r="N8" s="108" t="str">
        <x:v>0.7342224959727092</x:v>
      </x:c>
      <x:c r="O8" s="108" t="str">
        <x:v>60161.0</x:v>
      </x:c>
      <x:c r="P8" s="108" t="str">
        <x:v>0.23682894855977607</x:v>
      </x:c>
      <x:c r="Q8" s="108" t="str">
        <x:v>0.007889541678511636</x:v>
      </x:c>
    </x:row>
    <x:row r="9" ht="18" customHeight="1">
      <x:c r="A9" t="str">
        <x:v>full_q_mono_pn</x:v>
      </x:c>
      <x:c r="B9" t="str">
        <x:v>pr</x:v>
      </x:c>
      <x:c r="C9" t="str">
        <x:v>average_precision</x:v>
      </x:c>
      <x:c r="D9" t="str">
        <x:v>pdac</x:v>
      </x:c>
      <x:c r="E9" t="str">
        <x:v>q1p5</x:v>
      </x:c>
      <x:c r="F9" s="100" t="str">
        <x:v>1.5</x:v>
      </x:c>
      <x:c r="G9" s="102" t="str">
        <x:v>-1.1</x:v>
      </x:c>
      <x:c r="H9" s="104" t="str">
        <x:v>0.0005490561801685</x:v>
      </x:c>
      <x:c r="I9" t="str">
        <x:v>covid_spike</x:v>
      </x:c>
      <x:c r="J9" s="108" t="str">
        <x:v>0.6612386794414129</x:v>
      </x:c>
      <x:c r="K9" s="108" t="str">
        <x:v>241821.0</x:v>
      </x:c>
      <x:c r="L9" s="108" t="str">
        <x:v>0.9519610428976903</x:v>
      </x:c>
      <x:c r="M9" s="108" t="str">
        <x:v>0.00427667175299018</x:v>
      </x:c>
      <x:c r="N9" s="108" t="str">
        <x:v>0.5615202590146849</x:v>
      </x:c>
      <x:c r="O9" s="108" t="str">
        <x:v>49710.5</x:v>
      </x:c>
      <x:c r="P9" s="108" t="str">
        <x:v>0.19568897304574784</x:v>
      </x:c>
      <x:c r="Q9" s="108" t="str">
        <x:v>0.001872275234425902</x:v>
      </x:c>
    </x:row>
    <x:row r="10" ht="18" customHeight="1">
      <x:c r="A10" t="str">
        <x:v>full_q_mono_pn</x:v>
      </x:c>
      <x:c r="B10" t="str">
        <x:v>pr</x:v>
      </x:c>
      <x:c r="C10" t="str">
        <x:v>average_precision</x:v>
      </x:c>
      <x:c r="D10" t="str">
        <x:v>pdac</x:v>
      </x:c>
      <x:c r="E10" t="str">
        <x:v>q1p5</x:v>
      </x:c>
      <x:c r="F10" s="100" t="str">
        <x:v>1.5</x:v>
      </x:c>
      <x:c r="G10" s="102" t="str">
        <x:v>-1.1</x:v>
      </x:c>
      <x:c r="H10" s="104" t="str">
        <x:v>0.0005490561801685</x:v>
      </x:c>
      <x:c r="I10" t="str">
        <x:v>pdac</x:v>
      </x:c>
      <x:c r="J10" s="108" t="str">
        <x:v>0.2302095273384795</x:v>
      </x:c>
      <x:c r="K10" s="108" t="str">
        <x:v>10.0</x:v>
      </x:c>
      <x:c r="L10" s="108" t="str">
        <x:v>3.542986265023246e-05</x:v>
      </x:c>
      <x:c r="M10" s="108" t="str">
        <x:v>0.0</x:v>
      </x:c>
      <x:c r="N10" s="108" t="str">
        <x:v>0.7105263157894737</x:v>
      </x:c>
      <x:c r="O10" s="108" t="str">
        <x:v>10.0</x:v>
      </x:c>
      <x:c r="P10" s="108" t="str">
        <x:v>3.542986265023246e-05</x:v>
      </x:c>
      <x:c r="Q10" s="108" t="str">
        <x:v>0.0</x:v>
      </x:c>
    </x:row>
    <x:row r="11" ht="18" customHeight="1">
      <x:c r="A11" t="str">
        <x:v>mono_q_full_pn</x:v>
      </x:c>
      <x:c r="B11" t="str">
        <x:v>pr</x:v>
      </x:c>
      <x:c r="C11" t="str">
        <x:v>average_precision</x:v>
      </x:c>
      <x:c r="D11" t="str">
        <x:v>pdac</x:v>
      </x:c>
      <x:c r="E11" t="str">
        <x:v>qinf</x:v>
      </x:c>
      <x:c r="F11" s="100" t="str">
        <x:v>inf</x:v>
      </x:c>
      <x:c r="G11" s="102" t="str">
        <x:v>-0.4</x:v>
      </x:c>
      <x:c r="H11" s="104" t="str">
        <x:v>0.0040040826438662</x:v>
      </x:c>
      <x:c r="I11" t="str">
        <x:v>covid_nonspike</x:v>
      </x:c>
      <x:c r="J11" s="108" t="str">
        <x:v>0.5810737488564895</x:v>
      </x:c>
      <x:c r="K11" s="108" t="str">
        <x:v>66248.0</x:v>
      </x:c>
      <x:c r="L11" s="108" t="str">
        <x:v>0.26079134566554996</x:v>
      </x:c>
      <x:c r="M11" s="108" t="str">
        <x:v>0.04866415660436352</x:v>
      </x:c>
      <x:c r="N11" s="108" t="str">
        <x:v>0.7391752740137085</x:v>
      </x:c>
      <x:c r="O11" s="108" t="str">
        <x:v>58125.0</x:v>
      </x:c>
      <x:c r="P11" s="108" t="str">
        <x:v>0.2288139262980124</x:v>
      </x:c>
      <x:c r="Q11" s="108" t="str">
        <x:v>0.02149230866420293</x:v>
      </x:c>
    </x:row>
    <x:row r="12" ht="18" customHeight="1">
      <x:c r="A12" t="str">
        <x:v>mono_q_full_pn</x:v>
      </x:c>
      <x:c r="B12" t="str">
        <x:v>pr</x:v>
      </x:c>
      <x:c r="C12" t="str">
        <x:v>average_precision</x:v>
      </x:c>
      <x:c r="D12" t="str">
        <x:v>pdac</x:v>
      </x:c>
      <x:c r="E12" t="str">
        <x:v>qinf</x:v>
      </x:c>
      <x:c r="F12" s="100" t="str">
        <x:v>inf</x:v>
      </x:c>
      <x:c r="G12" s="102" t="str">
        <x:v>-0.4</x:v>
      </x:c>
      <x:c r="H12" s="104" t="str">
        <x:v>0.0040040826438662</x:v>
      </x:c>
      <x:c r="I12" t="str">
        <x:v>covid_spike</x:v>
      </x:c>
      <x:c r="J12" s="108" t="str">
        <x:v>0.6654873874260745</x:v>
      </x:c>
      <x:c r="K12" s="108" t="str">
        <x:v>93361.0</x:v>
      </x:c>
      <x:c r="L12" s="108" t="str">
        <x:v>0.36752577522507807</x:v>
      </x:c>
      <x:c r="M12" s="108" t="str">
        <x:v>0.011442468159640007</x:v>
      </x:c>
      <x:c r="N12" s="108" t="str">
        <x:v>0.5664401427200528</x:v>
      </x:c>
      <x:c r="O12" s="108" t="str">
        <x:v>78056.5</x:v>
      </x:c>
      <x:c r="P12" s="108" t="str">
        <x:v>0.3072772937883578</x:v>
      </x:c>
      <x:c r="Q12" s="108" t="str">
        <x:v>0.005128467980534013</x:v>
      </x:c>
    </x:row>
    <x:row r="13" ht="18" customHeight="1">
      <x:c r="A13" t="str">
        <x:v>mono_q_full_pn</x:v>
      </x:c>
      <x:c r="B13" t="str">
        <x:v>pr</x:v>
      </x:c>
      <x:c r="C13" t="str">
        <x:v>average_precision</x:v>
      </x:c>
      <x:c r="D13" t="str">
        <x:v>pdac</x:v>
      </x:c>
      <x:c r="E13" t="str">
        <x:v>qinf</x:v>
      </x:c>
      <x:c r="F13" s="100" t="str">
        <x:v>inf</x:v>
      </x:c>
      <x:c r="G13" s="102" t="str">
        <x:v>-0.4</x:v>
      </x:c>
      <x:c r="H13" s="104" t="str">
        <x:v>0.0040040826438662</x:v>
      </x:c>
      <x:c r="I13" t="str">
        <x:v>pdac</x:v>
      </x:c>
      <x:c r="J13" s="108" t="str">
        <x:v>0.2258804377386195</x:v>
      </x:c>
      <x:c r="K13" s="108" t="str">
        <x:v>20.5</x:v>
      </x:c>
      <x:c r="L13" s="108" t="str">
        <x:v>7.6764702408837e-05</x:v>
      </x:c>
      <x:c r="M13" s="108" t="str">
        <x:v>0.0</x:v>
      </x:c>
      <x:c r="N13" s="108" t="str">
        <x:v>0.7032036613272311</x:v>
      </x:c>
      <x:c r="O13" s="108" t="str">
        <x:v>20.5</x:v>
      </x:c>
      <x:c r="P13" s="108" t="str">
        <x:v>7.6764702408837e-05</x:v>
      </x:c>
      <x:c r="Q13" s="108" t="str">
        <x:v>0.0</x:v>
      </x:c>
    </x:row>
    <x:row r="14" ht="18" customHeight="1">
      <x:c r="A14" t="str">
        <x:v>old_monoallelic</x:v>
      </x:c>
      <x:c r="B14" t="str">
        <x:v>pr</x:v>
      </x:c>
      <x:c r="C14" t="str">
        <x:v>average_precision</x:v>
      </x:c>
      <x:c r="D14" t="str">
        <x:v>pdac</x:v>
      </x:c>
      <x:c r="E14" t="str">
        <x:v>qinf</x:v>
      </x:c>
      <x:c r="F14" s="100" t="str">
        <x:v>inf</x:v>
      </x:c>
      <x:c r="G14" s="102" t="str">
        <x:v>-0.35</x:v>
      </x:c>
      <x:c r="H14" s="104" t="str">
        <x:v>0.0053182958969449</x:v>
      </x:c>
      <x:c r="I14" t="str">
        <x:v>covid_nonspike</x:v>
      </x:c>
      <x:c r="J14" s="108" t="str">
        <x:v>0.5781921057822585</x:v>
      </x:c>
      <x:c r="K14" s="108" t="str">
        <x:v>64287.0</x:v>
      </x:c>
      <x:c r="L14" s="108" t="str">
        <x:v>0.2530715722592049</x:v>
      </x:c>
      <x:c r="M14" s="108" t="str">
        <x:v>0.03728267841631705</x:v>
      </x:c>
      <x:c r="N14" s="108" t="str">
        <x:v>0.7361271676300578</x:v>
      </x:c>
      <x:c r="O14" s="108" t="str">
        <x:v>56246.0</x:v>
      </x:c>
      <x:c r="P14" s="108" t="str">
        <x:v>0.22141695830692495</x:v>
      </x:c>
      <x:c r="Q14" s="108" t="str">
        <x:v>0.016992008591553698</x:v>
      </x:c>
    </x:row>
    <x:row r="15" ht="18" customHeight="1">
      <x:c r="A15" t="str">
        <x:v>old_monoallelic</x:v>
      </x:c>
      <x:c r="B15" t="str">
        <x:v>pr</x:v>
      </x:c>
      <x:c r="C15" t="str">
        <x:v>average_precision</x:v>
      </x:c>
      <x:c r="D15" t="str">
        <x:v>pdac</x:v>
      </x:c>
      <x:c r="E15" t="str">
        <x:v>qinf</x:v>
      </x:c>
      <x:c r="F15" s="100" t="str">
        <x:v>inf</x:v>
      </x:c>
      <x:c r="G15" s="102" t="str">
        <x:v>-0.35</x:v>
      </x:c>
      <x:c r="H15" s="104" t="str">
        <x:v>0.0053182958969449</x:v>
      </x:c>
      <x:c r="I15" t="str">
        <x:v>covid_spike</x:v>
      </x:c>
      <x:c r="J15" s="108" t="str">
        <x:v>0.6611880486098533</x:v>
      </x:c>
      <x:c r="K15" s="108" t="str">
        <x:v>145570.0</x:v>
      </x:c>
      <x:c r="L15" s="108" t="str">
        <x:v>0.5730544084590765</x:v>
      </x:c>
      <x:c r="M15" s="108" t="str">
        <x:v>0.01085380805448699</x:v>
      </x:c>
      <x:c r="N15" s="108" t="str">
        <x:v>0.5628372587043001</x:v>
      </x:c>
      <x:c r="O15" s="108" t="str">
        <x:v>90043.5</x:v>
      </x:c>
      <x:c r="P15" s="108" t="str">
        <x:v>0.3544659341870618</x:v>
      </x:c>
      <x:c r="Q15" s="108" t="str">
        <x:v>0.00425141737642265</x:v>
      </x:c>
    </x:row>
    <x:row r="16" ht="18" customHeight="1">
      <x:c r="A16" t="str">
        <x:v>old_monoallelic</x:v>
      </x:c>
      <x:c r="B16" t="str">
        <x:v>pr</x:v>
      </x:c>
      <x:c r="C16" t="str">
        <x:v>average_precision</x:v>
      </x:c>
      <x:c r="D16" t="str">
        <x:v>pdac</x:v>
      </x:c>
      <x:c r="E16" t="str">
        <x:v>qinf</x:v>
      </x:c>
      <x:c r="F16" s="100" t="str">
        <x:v>inf</x:v>
      </x:c>
      <x:c r="G16" s="102" t="str">
        <x:v>-0.35</x:v>
      </x:c>
      <x:c r="H16" s="104" t="str">
        <x:v>0.0053182958969449</x:v>
      </x:c>
      <x:c r="I16" t="str">
        <x:v>pdac</x:v>
      </x:c>
      <x:c r="J16" s="108" t="str">
        <x:v>0.1965079683238353</x:v>
      </x:c>
      <x:c r="K16" s="108" t="str">
        <x:v>1.0</x:v>
      </x:c>
      <x:c r="L16" s="108" t="str">
        <x:v>0.0</x:v>
      </x:c>
      <x:c r="M16" s="108" t="str">
        <x:v>0.0</x:v>
      </x:c>
      <x:c r="N16" s="108" t="str">
        <x:v>0.6601830663615561</x:v>
      </x:c>
      <x:c r="O16" s="108" t="str">
        <x:v>1.0</x:v>
      </x:c>
      <x:c r="P16" s="108" t="str">
        <x:v>0.0</x:v>
      </x:c>
      <x:c r="Q16" s="108" t="str">
        <x:v>0.0</x:v>
      </x:c>
    </x:row>
    <x:row r="17" ht="18" customHeight="1">
      <x:c r="A17" t="str">
        <x:v>focal_hla</x:v>
      </x:c>
      <x:c r="B17" t="str">
        <x:v>roc</x:v>
      </x:c>
      <x:c r="C17" t="str">
        <x:v>auroc</x:v>
      </x:c>
      <x:c r="D17" t="str">
        <x:v>pdac</x:v>
      </x:c>
      <x:c r="E17" t="str">
        <x:v>q1</x:v>
      </x:c>
      <x:c r="F17" s="100" t="str">
        <x:v>1.0</x:v>
      </x:c>
      <x:c r="G17" s="102" t="str">
        <x:v>-1.25</x:v>
      </x:c>
      <x:c r="H17" s="104" t="str">
        <x:v>0.0033137778446013</x:v>
      </x:c>
      <x:c r="I17" t="str">
        <x:v>covid_nonspike</x:v>
      </x:c>
      <x:c r="J17" s="108" t="str">
        <x:v>0.5697581919356287</x:v>
      </x:c>
      <x:c r="K17" s="108" t="str">
        <x:v>68450.0</x:v>
      </x:c>
      <x:c r="L17" s="108" t="str">
        <x:v>0.26945985206064016</x:v>
      </x:c>
      <x:c r="M17" s="108" t="str">
        <x:v>0.011985856342740853</x:v>
      </x:c>
      <x:c r="N17" s="108" t="str">
        <x:v>0.7290896743422092</x:v>
      </x:c>
      <x:c r="O17" s="108" t="str">
        <x:v>58294.0</x:v>
      </x:c>
      <x:c r="P17" s="108" t="str">
        <x:v>0.22947922038555563</x:v>
      </x:c>
      <x:c r="Q17" s="108" t="str">
        <x:v>0.00499620960864211</x:v>
      </x:c>
    </x:row>
    <x:row r="18" ht="18" customHeight="1">
      <x:c r="A18" t="str">
        <x:v>focal_hla</x:v>
      </x:c>
      <x:c r="B18" t="str">
        <x:v>roc</x:v>
      </x:c>
      <x:c r="C18" t="str">
        <x:v>auroc</x:v>
      </x:c>
      <x:c r="D18" t="str">
        <x:v>pdac</x:v>
      </x:c>
      <x:c r="E18" t="str">
        <x:v>q1</x:v>
      </x:c>
      <x:c r="F18" s="100" t="str">
        <x:v>1.0</x:v>
      </x:c>
      <x:c r="G18" s="102" t="str">
        <x:v>-1.25</x:v>
      </x:c>
      <x:c r="H18" s="104" t="str">
        <x:v>0.0033137778446013</x:v>
      </x:c>
      <x:c r="I18" t="str">
        <x:v>covid_spike</x:v>
      </x:c>
      <x:c r="J18" s="108" t="str">
        <x:v>0.657535012351068</x:v>
      </x:c>
      <x:c r="K18" s="108" t="str">
        <x:v>157339.0</x:v>
      </x:c>
      <x:c r="L18" s="108" t="str">
        <x:v>0.6193848588513639</x:v>
      </x:c>
      <x:c r="M18" s="108" t="str">
        <x:v>0.004501413919690278</x:v>
      </x:c>
      <x:c r="N18" s="108" t="str">
        <x:v>0.558510380805121</x:v>
      </x:c>
      <x:c r="O18" s="108" t="str">
        <x:v>55198.5</x:v>
      </x:c>
      <x:c r="P18" s="108" t="str">
        <x:v>0.21729331595957846</x:v>
      </x:c>
      <x:c r="Q18" s="108" t="str">
        <x:v>0.0012244537654800824</x:v>
      </x:c>
    </x:row>
    <x:row r="19" ht="18" customHeight="1">
      <x:c r="A19" t="str">
        <x:v>focal_hla</x:v>
      </x:c>
      <x:c r="B19" t="str">
        <x:v>roc</x:v>
      </x:c>
      <x:c r="C19" t="str">
        <x:v>auroc</x:v>
      </x:c>
      <x:c r="D19" t="str">
        <x:v>pdac</x:v>
      </x:c>
      <x:c r="E19" t="str">
        <x:v>q1</x:v>
      </x:c>
      <x:c r="F19" s="100" t="str">
        <x:v>1.0</x:v>
      </x:c>
      <x:c r="G19" s="102" t="str">
        <x:v>-1.25</x:v>
      </x:c>
      <x:c r="H19" s="104" t="str">
        <x:v>0.0033137778446013</x:v>
      </x:c>
      <x:c r="I19" t="str">
        <x:v>pdac</x:v>
      </x:c>
      <x:c r="J19" s="108" t="str">
        <x:v>0.2507453739677487</x:v>
      </x:c>
      <x:c r="K19" s="108" t="str">
        <x:v>27.5</x:v>
      </x:c>
      <x:c r="L19" s="108" t="str">
        <x:v>0.00010432126224790669</x:v>
      </x:c>
      <x:c r="M19" s="108" t="str">
        <x:v>1.751126131926961e-05</x:v>
      </x:c>
      <x:c r="N19" s="108" t="str">
        <x:v>0.7279176201372998</x:v>
      </x:c>
      <x:c r="O19" s="108" t="str">
        <x:v>23.5</x:v>
      </x:c>
      <x:c r="P19" s="108" t="str">
        <x:v>8.857465662558115e-05</x:v>
      </x:c>
      <x:c r="Q19" s="108" t="str">
        <x:v>0.0</x:v>
      </x:c>
    </x:row>
    <x:row r="20" ht="18" customHeight="1">
      <x:c r="A20" t="str">
        <x:v>full_hla</x:v>
      </x:c>
      <x:c r="B20" t="str">
        <x:v>roc</x:v>
      </x:c>
      <x:c r="C20" t="str">
        <x:v>auroc</x:v>
      </x:c>
      <x:c r="D20" t="str">
        <x:v>pdac</x:v>
      </x:c>
      <x:c r="E20" t="str">
        <x:v>q2</x:v>
      </x:c>
      <x:c r="F20" s="100" t="str">
        <x:v>2.0</x:v>
      </x:c>
      <x:c r="G20" s="102" t="str">
        <x:v>-1.2</x:v>
      </x:c>
      <x:c r="H20" s="104" t="str">
        <x:v>0.0005490561801685</x:v>
      </x:c>
      <x:c r="I20" t="str">
        <x:v>covid_nonspike</x:v>
      </x:c>
      <x:c r="J20" s="108" t="str">
        <x:v>0.5733900102497456</x:v>
      </x:c>
      <x:c r="K20" s="108" t="str">
        <x:v>68358.0</x:v>
      </x:c>
      <x:c r="L20" s="108" t="str">
        <x:v>0.2690976801313267</x:v>
      </x:c>
      <x:c r="M20" s="108" t="str">
        <x:v>0.018897949312255302</x:v>
      </x:c>
      <x:c r="N20" s="108" t="str">
        <x:v>0.7331217031491835</x:v>
      </x:c>
      <x:c r="O20" s="108" t="str">
        <x:v>61864.5</x:v>
      </x:c>
      <x:c r="P20" s="108" t="str">
        <x:v>0.24353503422918396</x:v>
      </x:c>
      <x:c r="Q20" s="108" t="str">
        <x:v>0.008434410436210849</x:v>
      </x:c>
    </x:row>
    <x:row r="21" ht="18" customHeight="1">
      <x:c r="A21" t="str">
        <x:v>full_hla</x:v>
      </x:c>
      <x:c r="B21" t="str">
        <x:v>roc</x:v>
      </x:c>
      <x:c r="C21" t="str">
        <x:v>auroc</x:v>
      </x:c>
      <x:c r="D21" t="str">
        <x:v>pdac</x:v>
      </x:c>
      <x:c r="E21" t="str">
        <x:v>q2</x:v>
      </x:c>
      <x:c r="F21" s="100" t="str">
        <x:v>2.0</x:v>
      </x:c>
      <x:c r="G21" s="102" t="str">
        <x:v>-1.2</x:v>
      </x:c>
      <x:c r="H21" s="104" t="str">
        <x:v>0.0005490561801685</x:v>
      </x:c>
      <x:c r="I21" t="str">
        <x:v>covid_spike</x:v>
      </x:c>
      <x:c r="J21" s="108" t="str">
        <x:v>0.6608890402378582</x:v>
      </x:c>
      <x:c r="K21" s="108" t="str">
        <x:v>86549.0</x:v>
      </x:c>
      <x:c r="L21" s="108" t="str">
        <x:v>0.34070930585025766</x:v>
      </x:c>
      <x:c r="M21" s="108" t="str">
        <x:v>0.004964517307158189</x:v>
      </x:c>
      <x:c r="N21" s="108" t="str">
        <x:v>0.5625738587663771</x:v>
      </x:c>
      <x:c r="O21" s="108" t="str">
        <x:v>46710.0</x:v>
      </x:c>
      <x:c r="P21" s="108" t="str">
        <x:v>0.1838770505033009</x:v>
      </x:c>
      <x:c r="Q21" s="108" t="str">
        <x:v>0.001667250417880406</x:v>
      </x:c>
    </x:row>
    <x:row r="22" ht="18" customHeight="1">
      <x:c r="A22" t="str">
        <x:v>full_hla</x:v>
      </x:c>
      <x:c r="B22" t="str">
        <x:v>roc</x:v>
      </x:c>
      <x:c r="C22" t="str">
        <x:v>auroc</x:v>
      </x:c>
      <x:c r="D22" t="str">
        <x:v>pdac</x:v>
      </x:c>
      <x:c r="E22" t="str">
        <x:v>q2</x:v>
      </x:c>
      <x:c r="F22" s="100" t="str">
        <x:v>2.0</x:v>
      </x:c>
      <x:c r="G22" s="102" t="str">
        <x:v>-1.2</x:v>
      </x:c>
      <x:c r="H22" s="104" t="str">
        <x:v>0.0005490561801685</x:v>
      </x:c>
      <x:c r="I22" t="str">
        <x:v>pdac</x:v>
      </x:c>
      <x:c r="J22" s="108" t="str">
        <x:v>0.2463872993229232</x:v>
      </x:c>
      <x:c r="K22" s="108" t="str">
        <x:v>10.0</x:v>
      </x:c>
      <x:c r="L22" s="108" t="str">
        <x:v>3.542986265023246e-05</x:v>
      </x:c>
      <x:c r="M22" s="108" t="str">
        <x:v>0.0</x:v>
      </x:c>
      <x:c r="N22" s="108" t="str">
        <x:v>0.7292906178489702</x:v>
      </x:c>
      <x:c r="O22" s="108" t="str">
        <x:v>10.0</x:v>
      </x:c>
      <x:c r="P22" s="108" t="str">
        <x:v>3.542986265023246e-05</x:v>
      </x:c>
      <x:c r="Q22" s="108" t="str">
        <x:v>0.0</x:v>
      </x:c>
    </x:row>
    <x:row r="23" ht="18" customHeight="1">
      <x:c r="A23" t="str">
        <x:v>full_q_mono_pn</x:v>
      </x:c>
      <x:c r="B23" t="str">
        <x:v>roc</x:v>
      </x:c>
      <x:c r="C23" t="str">
        <x:v>auroc</x:v>
      </x:c>
      <x:c r="D23" t="str">
        <x:v>pdac</x:v>
      </x:c>
      <x:c r="E23" t="str">
        <x:v>q1p5</x:v>
      </x:c>
      <x:c r="F23" s="100" t="str">
        <x:v>1.5</x:v>
      </x:c>
      <x:c r="G23" s="102" t="str">
        <x:v>-1.1</x:v>
      </x:c>
      <x:c r="H23" s="104" t="str">
        <x:v>0.0005490561801685</x:v>
      </x:c>
      <x:c r="I23" t="str">
        <x:v>covid_nonspike</x:v>
      </x:c>
      <x:c r="J23" s="108" t="str">
        <x:v>0.5745513278795431</x:v>
      </x:c>
      <x:c r="K23" s="108" t="str">
        <x:v>63496.5</x:v>
      </x:c>
      <x:c r="L23" s="108" t="str">
        <x:v>0.24995964932309278</x:v>
      </x:c>
      <x:c r="M23" s="108" t="str">
        <x:v>0.017088531025209464</x:v>
      </x:c>
      <x:c r="N23" s="108" t="str">
        <x:v>0.7342224959727092</x:v>
      </x:c>
      <x:c r="O23" s="108" t="str">
        <x:v>60161.0</x:v>
      </x:c>
      <x:c r="P23" s="108" t="str">
        <x:v>0.23682894855977607</x:v>
      </x:c>
      <x:c r="Q23" s="108" t="str">
        <x:v>0.007889541678511636</x:v>
      </x:c>
    </x:row>
    <x:row r="24" ht="18" customHeight="1">
      <x:c r="A24" t="str">
        <x:v>full_q_mono_pn</x:v>
      </x:c>
      <x:c r="B24" t="str">
        <x:v>roc</x:v>
      </x:c>
      <x:c r="C24" t="str">
        <x:v>auroc</x:v>
      </x:c>
      <x:c r="D24" t="str">
        <x:v>pdac</x:v>
      </x:c>
      <x:c r="E24" t="str">
        <x:v>q1p5</x:v>
      </x:c>
      <x:c r="F24" s="100" t="str">
        <x:v>1.5</x:v>
      </x:c>
      <x:c r="G24" s="102" t="str">
        <x:v>-1.1</x:v>
      </x:c>
      <x:c r="H24" s="104" t="str">
        <x:v>0.0005490561801685</x:v>
      </x:c>
      <x:c r="I24" t="str">
        <x:v>covid_spike</x:v>
      </x:c>
      <x:c r="J24" s="108" t="str">
        <x:v>0.6612386794414129</x:v>
      </x:c>
      <x:c r="K24" s="108" t="str">
        <x:v>241821.0</x:v>
      </x:c>
      <x:c r="L24" s="108" t="str">
        <x:v>0.9519610428976903</x:v>
      </x:c>
      <x:c r="M24" s="108" t="str">
        <x:v>0.00427667175299018</x:v>
      </x:c>
      <x:c r="N24" s="108" t="str">
        <x:v>0.5615202590146849</x:v>
      </x:c>
      <x:c r="O24" s="108" t="str">
        <x:v>49710.5</x:v>
      </x:c>
      <x:c r="P24" s="108" t="str">
        <x:v>0.19568897304574784</x:v>
      </x:c>
      <x:c r="Q24" s="108" t="str">
        <x:v>0.001872275234425902</x:v>
      </x:c>
    </x:row>
    <x:row r="25" ht="18" customHeight="1">
      <x:c r="A25" t="str">
        <x:v>full_q_mono_pn</x:v>
      </x:c>
      <x:c r="B25" t="str">
        <x:v>roc</x:v>
      </x:c>
      <x:c r="C25" t="str">
        <x:v>auroc</x:v>
      </x:c>
      <x:c r="D25" t="str">
        <x:v>pdac</x:v>
      </x:c>
      <x:c r="E25" t="str">
        <x:v>q1p5</x:v>
      </x:c>
      <x:c r="F25" s="100" t="str">
        <x:v>1.5</x:v>
      </x:c>
      <x:c r="G25" s="102" t="str">
        <x:v>-1.1</x:v>
      </x:c>
      <x:c r="H25" s="104" t="str">
        <x:v>0.0005490561801685</x:v>
      </x:c>
      <x:c r="I25" t="str">
        <x:v>pdac</x:v>
      </x:c>
      <x:c r="J25" s="108" t="str">
        <x:v>0.2302095273384795</x:v>
      </x:c>
      <x:c r="K25" s="108" t="str">
        <x:v>10.0</x:v>
      </x:c>
      <x:c r="L25" s="108" t="str">
        <x:v>3.542986265023246e-05</x:v>
      </x:c>
      <x:c r="M25" s="108" t="str">
        <x:v>0.0</x:v>
      </x:c>
      <x:c r="N25" s="108" t="str">
        <x:v>0.7105263157894737</x:v>
      </x:c>
      <x:c r="O25" s="108" t="str">
        <x:v>10.0</x:v>
      </x:c>
      <x:c r="P25" s="108" t="str">
        <x:v>3.542986265023246e-05</x:v>
      </x:c>
      <x:c r="Q25" s="108" t="str">
        <x:v>0.0</x:v>
      </x:c>
    </x:row>
    <x:row r="26" ht="18" customHeight="1">
      <x:c r="A26" t="str">
        <x:v>mono_q_full_pn</x:v>
      </x:c>
      <x:c r="B26" t="str">
        <x:v>roc</x:v>
      </x:c>
      <x:c r="C26" t="str">
        <x:v>auroc</x:v>
      </x:c>
      <x:c r="D26" t="str">
        <x:v>pdac</x:v>
      </x:c>
      <x:c r="E26" t="str">
        <x:v>qinf</x:v>
      </x:c>
      <x:c r="F26" s="100" t="str">
        <x:v>inf</x:v>
      </x:c>
      <x:c r="G26" s="102" t="str">
        <x:v>-0.4</x:v>
      </x:c>
      <x:c r="H26" s="104" t="str">
        <x:v>0.0040040826438662</x:v>
      </x:c>
      <x:c r="I26" t="str">
        <x:v>covid_nonspike</x:v>
      </x:c>
      <x:c r="J26" s="108" t="str">
        <x:v>0.5810737488564895</x:v>
      </x:c>
      <x:c r="K26" s="108" t="str">
        <x:v>66248.0</x:v>
      </x:c>
      <x:c r="L26" s="108" t="str">
        <x:v>0.26079134566554996</x:v>
      </x:c>
      <x:c r="M26" s="108" t="str">
        <x:v>0.04866415660436352</x:v>
      </x:c>
      <x:c r="N26" s="108" t="str">
        <x:v>0.7391752740137085</x:v>
      </x:c>
      <x:c r="O26" s="108" t="str">
        <x:v>58125.0</x:v>
      </x:c>
      <x:c r="P26" s="108" t="str">
        <x:v>0.2288139262980124</x:v>
      </x:c>
      <x:c r="Q26" s="108" t="str">
        <x:v>0.02149230866420293</x:v>
      </x:c>
    </x:row>
    <x:row r="27" ht="18" customHeight="1">
      <x:c r="A27" t="str">
        <x:v>mono_q_full_pn</x:v>
      </x:c>
      <x:c r="B27" t="str">
        <x:v>roc</x:v>
      </x:c>
      <x:c r="C27" t="str">
        <x:v>auroc</x:v>
      </x:c>
      <x:c r="D27" t="str">
        <x:v>pdac</x:v>
      </x:c>
      <x:c r="E27" t="str">
        <x:v>qinf</x:v>
      </x:c>
      <x:c r="F27" s="100" t="str">
        <x:v>inf</x:v>
      </x:c>
      <x:c r="G27" s="102" t="str">
        <x:v>-0.4</x:v>
      </x:c>
      <x:c r="H27" s="104" t="str">
        <x:v>0.0040040826438662</x:v>
      </x:c>
      <x:c r="I27" t="str">
        <x:v>covid_spike</x:v>
      </x:c>
      <x:c r="J27" s="108" t="str">
        <x:v>0.6654873874260745</x:v>
      </x:c>
      <x:c r="K27" s="108" t="str">
        <x:v>93361.0</x:v>
      </x:c>
      <x:c r="L27" s="108" t="str">
        <x:v>0.36752577522507807</x:v>
      </x:c>
      <x:c r="M27" s="108" t="str">
        <x:v>0.011442468159640007</x:v>
      </x:c>
      <x:c r="N27" s="108" t="str">
        <x:v>0.5664401427200528</x:v>
      </x:c>
      <x:c r="O27" s="108" t="str">
        <x:v>78056.5</x:v>
      </x:c>
      <x:c r="P27" s="108" t="str">
        <x:v>0.3072772937883578</x:v>
      </x:c>
      <x:c r="Q27" s="108" t="str">
        <x:v>0.005128467980534013</x:v>
      </x:c>
    </x:row>
    <x:row r="28" ht="18" customHeight="1">
      <x:c r="A28" t="str">
        <x:v>mono_q_full_pn</x:v>
      </x:c>
      <x:c r="B28" t="str">
        <x:v>roc</x:v>
      </x:c>
      <x:c r="C28" t="str">
        <x:v>auroc</x:v>
      </x:c>
      <x:c r="D28" t="str">
        <x:v>pdac</x:v>
      </x:c>
      <x:c r="E28" t="str">
        <x:v>qinf</x:v>
      </x:c>
      <x:c r="F28" s="100" t="str">
        <x:v>inf</x:v>
      </x:c>
      <x:c r="G28" s="102" t="str">
        <x:v>-0.4</x:v>
      </x:c>
      <x:c r="H28" s="104" t="str">
        <x:v>0.0040040826438662</x:v>
      </x:c>
      <x:c r="I28" t="str">
        <x:v>pdac</x:v>
      </x:c>
      <x:c r="J28" s="108" t="str">
        <x:v>0.2258804377386195</x:v>
      </x:c>
      <x:c r="K28" s="108" t="str">
        <x:v>20.5</x:v>
      </x:c>
      <x:c r="L28" s="108" t="str">
        <x:v>7.6764702408837e-05</x:v>
      </x:c>
      <x:c r="M28" s="108" t="str">
        <x:v>0.0</x:v>
      </x:c>
      <x:c r="N28" s="108" t="str">
        <x:v>0.7032036613272311</x:v>
      </x:c>
      <x:c r="O28" s="108" t="str">
        <x:v>20.5</x:v>
      </x:c>
      <x:c r="P28" s="108" t="str">
        <x:v>7.6764702408837e-05</x:v>
      </x:c>
      <x:c r="Q28" s="108" t="str">
        <x:v>0.0</x:v>
      </x:c>
    </x:row>
    <x:row r="29" ht="18" customHeight="1">
      <x:c r="A29" t="str">
        <x:v>old_monoallelic</x:v>
      </x:c>
      <x:c r="B29" t="str">
        <x:v>roc</x:v>
      </x:c>
      <x:c r="C29" t="str">
        <x:v>auroc</x:v>
      </x:c>
      <x:c r="D29" t="str">
        <x:v>pdac</x:v>
      </x:c>
      <x:c r="E29" t="str">
        <x:v>qinf</x:v>
      </x:c>
      <x:c r="F29" s="100" t="str">
        <x:v>inf</x:v>
      </x:c>
      <x:c r="G29" s="102" t="str">
        <x:v>-0.3</x:v>
      </x:c>
      <x:c r="H29" s="104" t="str">
        <x:v>0.001414213562373</x:v>
      </x:c>
      <x:c r="I29" t="str">
        <x:v>covid_nonspike</x:v>
      </x:c>
      <x:c r="J29" s="108" t="str">
        <x:v>0.5786070155784171</x:v>
      </x:c>
      <x:c r="K29" s="108" t="str">
        <x:v>64051.0</x:v>
      </x:c>
      <x:c r="L29" s="108" t="str">
        <x:v>0.25214252252748764</x:v>
      </x:c>
      <x:c r="M29" s="108" t="str">
        <x:v>0.0420456942647075</x:v>
      </x:c>
      <x:c r="N29" s="108" t="str">
        <x:v>0.7377262389841751</x:v>
      </x:c>
      <x:c r="O29" s="108" t="str">
        <x:v>56382.0</x:v>
      </x:c>
      <x:c r="P29" s="108" t="str">
        <x:v>0.22195234289808402</x:v>
      </x:c>
      <x:c r="Q29" s="108" t="str">
        <x:v>0.019112258757383427</x:v>
      </x:c>
    </x:row>
    <x:row r="30" ht="18" customHeight="1">
      <x:c r="A30" t="str">
        <x:v>old_monoallelic</x:v>
      </x:c>
      <x:c r="B30" t="str">
        <x:v>roc</x:v>
      </x:c>
      <x:c r="C30" t="str">
        <x:v>auroc</x:v>
      </x:c>
      <x:c r="D30" t="str">
        <x:v>pdac</x:v>
      </x:c>
      <x:c r="E30" t="str">
        <x:v>qinf</x:v>
      </x:c>
      <x:c r="F30" s="100" t="str">
        <x:v>inf</x:v>
      </x:c>
      <x:c r="G30" s="102" t="str">
        <x:v>-0.3</x:v>
      </x:c>
      <x:c r="H30" s="104" t="str">
        <x:v>0.001414213562373</x:v>
      </x:c>
      <x:c r="I30" t="str">
        <x:v>covid_spike</x:v>
      </x:c>
      <x:c r="J30" s="108" t="str">
        <x:v>0.6619181216799808</x:v>
      </x:c>
      <x:c r="K30" s="108" t="str">
        <x:v>93448.0</x:v>
      </x:c>
      <x:c r="L30" s="108" t="str">
        <x:v>0.3678682638973636</x:v>
      </x:c>
      <x:c r="M30" s="108" t="str">
        <x:v>0.0109517753287105</x:v>
      </x:c>
      <x:c r="N30" s="108" t="str">
        <x:v>0.5637840746973748</x:v>
      </x:c>
      <x:c r="O30" s="108" t="str">
        <x:v>70376.5</x:v>
      </x:c>
      <x:c r="P30" s="108" t="str">
        <x:v>0.27704381099349273</x:v>
      </x:c>
      <x:c r="Q30" s="108" t="str">
        <x:v>0.00432545411573082</x:v>
      </x:c>
    </x:row>
    <x:row r="31" ht="18" customHeight="1">
      <x:c r="A31" t="str">
        <x:v>old_monoallelic</x:v>
      </x:c>
      <x:c r="B31" t="str">
        <x:v>roc</x:v>
      </x:c>
      <x:c r="C31" t="str">
        <x:v>auroc</x:v>
      </x:c>
      <x:c r="D31" t="str">
        <x:v>pdac</x:v>
      </x:c>
      <x:c r="E31" t="str">
        <x:v>qinf</x:v>
      </x:c>
      <x:c r="F31" s="100" t="str">
        <x:v>inf</x:v>
      </x:c>
      <x:c r="G31" s="102" t="str">
        <x:v>-0.3</x:v>
      </x:c>
      <x:c r="H31" s="104" t="str">
        <x:v>0.001414213562373</x:v>
      </x:c>
      <x:c r="I31" t="str">
        <x:v>pdac</x:v>
      </x:c>
      <x:c r="J31" s="108" t="str">
        <x:v>0.2215578802457588</x:v>
      </x:c>
      <x:c r="K31" s="108" t="str">
        <x:v>15.0</x:v>
      </x:c>
      <x:c r="L31" s="108" t="str">
        <x:v>5.511311967813938e-05</x:v>
      </x:c>
      <x:c r="M31" s="108" t="str">
        <x:v>0.0</x:v>
      </x:c>
      <x:c r="N31" s="108" t="str">
        <x:v>0.6958810068649885</x:v>
      </x:c>
      <x:c r="O31" s="108" t="str">
        <x:v>15.0</x:v>
      </x:c>
      <x:c r="P31" s="108" t="str">
        <x:v>5.511311967813938e-05</x:v>
      </x:c>
      <x:c r="Q31" s="108" t="str">
        <x:v>0.0</x:v>
      </x:c>
    </x:row>
  </x:sheetData>
  <x:conditionalFormatting sqref="L2:L31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P2:P31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f436fce63734b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35" hidden="0" customWidth="1"/>
    <x:col min="4" max="4" width="24" hidden="0" customWidth="1"/>
  </x:cols>
  <x:sheetData>
    <x:row r="1" ht="30" customHeight="1">
      <x:c r="A1" s="8" t="str">
        <x:v>PDAC-only self-gated Hill-q calibration</x:v>
      </x:c>
      <x:c r="B1" s="8"/>
      <x:c r="C1" s="8"/>
      <x:c r="D1" s="8"/>
    </x:row>
    <x:row r="2" ht="34" customHeight="1">
      <x:c r="A2" s="16" t="str">
        <x:v>Parameters selected on PDAC only; both average precision and AUROC evaluated after freezing on PDAC, COVID spike, and COVID non-spike.</x:v>
      </x:c>
      <x:c r="B2" s="16"/>
      <x:c r="C2" s="16"/>
      <x:c r="D2" s="16"/>
    </x:row>
    <x:row r="4">
      <x:c r="A4" s="22" t="str">
        <x:v>Fit cohort</x:v>
      </x:c>
      <x:c r="B4" s="24" t="str">
        <x:v>PDAC only</x:v>
      </x:c>
      <x:c r="C4" s="22" t="str">
        <x:v>q = infinity winners</x:v>
      </x:c>
      <x:c r="D4" s="24" t="n">
        <x:f>COUNTIF('Selected Parameters'!$F$2:$F$11,"qinf")</x:f>
        <x:v>4</x:v>
      </x:c>
    </x:row>
    <x:row r="5">
      <x:c r="A5" s="22" t="str">
        <x:v>Joint-grid triples</x:v>
      </x:c>
      <x:c r="B5" s="26" t="n">
        <x:v>254024</x:v>
      </x:c>
      <x:c r="C5" s="22" t="str">
        <x:v>Median selected kappa</x:v>
      </x:c>
      <x:c r="D5" s="28" t="n">
        <x:f>MEDIAN('Selected Parameters'!$K$2:$K$11)</x:f>
        <x:v>0.00236399570348715</x:v>
      </x:c>
    </x:row>
    <x:row r="6">
      <x:c r="A6" s="22" t="str">
        <x:v>Selected component-metric groups</x:v>
      </x:c>
      <x:c r="B6" s="24" t="n">
        <x:f>COUNTA('Selected Parameters'!$A$2:$A$11)</x:f>
        <x:v>10</x:v>
      </x:c>
      <x:c r="C6" s="22" t="str">
        <x:v>Maximum PDAC selection regret</x:v>
      </x:c>
      <x:c r="D6" s="28" t="n">
        <x:f>MAX('Selected Parameters'!$N$2:$N$11)</x:f>
        <x:v>0</x:v>
      </x:c>
    </x:row>
    <x:row r="8">
      <x:c r="A8" s="32" t="str">
        <x:v>PR-selected parameters: model-specific evaluation</x:v>
      </x:c>
      <x:c r="B8" s="32"/>
      <x:c r="C8" s="32"/>
      <x:c r="D8" s="32"/>
    </x:row>
    <x:row r="9">
      <x:c r="A9" s="40" t="str">
        <x:v>Model</x:v>
      </x:c>
      <x:c r="B9" s="40" t="str">
        <x:v>Evaluation cohort</x:v>
      </x:c>
      <x:c r="C9" s="40" t="str">
        <x:v>Average precision</x:v>
      </x:c>
      <x:c r="D9" s="40" t="str">
        <x:v>AP fractional rank</x:v>
      </x:c>
    </x:row>
    <x:row r="10">
      <x:c r="A10" s="41" t="str">
        <x:f>'Cohort Evaluation'!A2</x:f>
        <x:v>focal_hla</x:v>
      </x:c>
      <x:c r="B10" s="41" t="str">
        <x:f>'Cohort Evaluation'!I2</x:f>
        <x:v>covid_nonspike</x:v>
      </x:c>
      <x:c r="C10" s="44" t="str">
        <x:f>'Cohort Evaluation'!J2</x:f>
        <x:v>0.5695407306718747</x:v>
      </x:c>
      <x:c r="D10" s="44" t="str">
        <x:f>'Cohort Evaluation'!L2</x:f>
        <x:v>0.2790101683705806</x:v>
      </x:c>
    </x:row>
    <x:row r="11">
      <x:c r="A11" s="41" t="str">
        <x:f>'Cohort Evaluation'!A3</x:f>
        <x:v>focal_hla</x:v>
      </x:c>
      <x:c r="B11" s="41" t="str">
        <x:f>'Cohort Evaluation'!I3</x:f>
        <x:v>covid_spike</x:v>
      </x:c>
      <x:c r="C11" s="44" t="str">
        <x:f>'Cohort Evaluation'!J3</x:f>
        <x:v>0.6575039533917654</x:v>
      </x:c>
      <x:c r="D11" s="44" t="str">
        <x:f>'Cohort Evaluation'!L3</x:f>
        <x:v>0.6567377757132228</x:v>
      </x:c>
    </x:row>
    <x:row r="12">
      <x:c r="A12" s="41" t="str">
        <x:f>'Cohort Evaluation'!A4</x:f>
        <x:v>focal_hla</x:v>
      </x:c>
      <x:c r="B12" s="41" t="str">
        <x:f>'Cohort Evaluation'!I4</x:f>
        <x:v>pdac</x:v>
      </x:c>
      <x:c r="C12" s="44" t="str">
        <x:f>'Cohort Evaluation'!J4</x:f>
        <x:v>0.250762885229068</x:v>
      </x:c>
      <x:c r="D12" s="44" t="str">
        <x:f>'Cohort Evaluation'!L4</x:f>
        <x:v>1.3778279919534845e-05</x:v>
      </x:c>
    </x:row>
    <x:row r="13">
      <x:c r="A13" s="41" t="str">
        <x:f>'Cohort Evaluation'!A5</x:f>
        <x:v>full_hla</x:v>
      </x:c>
      <x:c r="B13" s="41" t="str">
        <x:f>'Cohort Evaluation'!I5</x:f>
        <x:v>covid_nonspike</x:v>
      </x:c>
      <x:c r="C13" s="44" t="str">
        <x:f>'Cohort Evaluation'!J5</x:f>
        <x:v>0.5733900102497456</x:v>
      </x:c>
      <x:c r="D13" s="44" t="str">
        <x:f>'Cohort Evaluation'!L5</x:f>
        <x:v>0.2690976801313267</x:v>
      </x:c>
    </x:row>
    <x:row r="14">
      <x:c r="A14" s="41" t="str">
        <x:f>'Cohort Evaluation'!A6</x:f>
        <x:v>full_hla</x:v>
      </x:c>
      <x:c r="B14" s="41" t="str">
        <x:f>'Cohort Evaluation'!I6</x:f>
        <x:v>covid_spike</x:v>
      </x:c>
      <x:c r="C14" s="44" t="str">
        <x:f>'Cohort Evaluation'!J6</x:f>
        <x:v>0.6608890402378582</x:v>
      </x:c>
      <x:c r="D14" s="44" t="str">
        <x:f>'Cohort Evaluation'!L6</x:f>
        <x:v>0.34070930585025766</x:v>
      </x:c>
    </x:row>
    <x:row r="15">
      <x:c r="A15" s="41" t="str">
        <x:f>'Cohort Evaluation'!A7</x:f>
        <x:v>full_hla</x:v>
      </x:c>
      <x:c r="B15" s="41" t="str">
        <x:f>'Cohort Evaluation'!I7</x:f>
        <x:v>pdac</x:v>
      </x:c>
      <x:c r="C15" s="44" t="str">
        <x:f>'Cohort Evaluation'!J7</x:f>
        <x:v>0.2463872993229232</x:v>
      </x:c>
      <x:c r="D15" s="44" t="str">
        <x:f>'Cohort Evaluation'!L7</x:f>
        <x:v>3.542986265023246e-05</x:v>
      </x:c>
    </x:row>
    <x:row r="16">
      <x:c r="A16" s="41" t="str">
        <x:f>'Cohort Evaluation'!A8</x:f>
        <x:v>full_q_mono_pn</x:v>
      </x:c>
      <x:c r="B16" s="41" t="str">
        <x:f>'Cohort Evaluation'!I8</x:f>
        <x:v>covid_nonspike</x:v>
      </x:c>
      <x:c r="C16" s="44" t="str">
        <x:f>'Cohort Evaluation'!J8</x:f>
        <x:v>0.5745513278795431</x:v>
      </x:c>
      <x:c r="D16" s="44" t="str">
        <x:f>'Cohort Evaluation'!L8</x:f>
        <x:v>0.24995964932309278</x:v>
      </x:c>
    </x:row>
    <x:row r="17">
      <x:c r="A17" s="41" t="str">
        <x:f>'Cohort Evaluation'!A9</x:f>
        <x:v>full_q_mono_pn</x:v>
      </x:c>
      <x:c r="B17" s="41" t="str">
        <x:f>'Cohort Evaluation'!I9</x:f>
        <x:v>covid_spike</x:v>
      </x:c>
      <x:c r="C17" s="44" t="str">
        <x:f>'Cohort Evaluation'!J9</x:f>
        <x:v>0.6612386794414129</x:v>
      </x:c>
      <x:c r="D17" s="44" t="str">
        <x:f>'Cohort Evaluation'!L9</x:f>
        <x:v>0.9519610428976903</x:v>
      </x:c>
    </x:row>
    <x:row r="18">
      <x:c r="A18" s="41" t="str">
        <x:f>'Cohort Evaluation'!A10</x:f>
        <x:v>full_q_mono_pn</x:v>
      </x:c>
      <x:c r="B18" s="41" t="str">
        <x:f>'Cohort Evaluation'!I10</x:f>
        <x:v>pdac</x:v>
      </x:c>
      <x:c r="C18" s="44" t="str">
        <x:f>'Cohort Evaluation'!J10</x:f>
        <x:v>0.2302095273384795</x:v>
      </x:c>
      <x:c r="D18" s="44" t="str">
        <x:f>'Cohort Evaluation'!L10</x:f>
        <x:v>3.542986265023246e-05</x:v>
      </x:c>
    </x:row>
    <x:row r="19">
      <x:c r="A19" s="41" t="str">
        <x:f>'Cohort Evaluation'!A11</x:f>
        <x:v>mono_q_full_pn</x:v>
      </x:c>
      <x:c r="B19" s="41" t="str">
        <x:f>'Cohort Evaluation'!I11</x:f>
        <x:v>covid_nonspike</x:v>
      </x:c>
      <x:c r="C19" s="44" t="str">
        <x:f>'Cohort Evaluation'!J11</x:f>
        <x:v>0.5810737488564895</x:v>
      </x:c>
      <x:c r="D19" s="44" t="str">
        <x:f>'Cohort Evaluation'!L11</x:f>
        <x:v>0.26079134566554996</x:v>
      </x:c>
    </x:row>
    <x:row r="20">
      <x:c r="A20" s="41" t="str">
        <x:f>'Cohort Evaluation'!A12</x:f>
        <x:v>mono_q_full_pn</x:v>
      </x:c>
      <x:c r="B20" s="41" t="str">
        <x:f>'Cohort Evaluation'!I12</x:f>
        <x:v>covid_spike</x:v>
      </x:c>
      <x:c r="C20" s="44" t="str">
        <x:f>'Cohort Evaluation'!J12</x:f>
        <x:v>0.6654873874260745</x:v>
      </x:c>
      <x:c r="D20" s="44" t="str">
        <x:f>'Cohort Evaluation'!L12</x:f>
        <x:v>0.36752577522507807</x:v>
      </x:c>
    </x:row>
    <x:row r="21">
      <x:c r="A21" s="41" t="str">
        <x:f>'Cohort Evaluation'!A13</x:f>
        <x:v>mono_q_full_pn</x:v>
      </x:c>
      <x:c r="B21" s="41" t="str">
        <x:f>'Cohort Evaluation'!I13</x:f>
        <x:v>pdac</x:v>
      </x:c>
      <x:c r="C21" s="44" t="str">
        <x:f>'Cohort Evaluation'!J13</x:f>
        <x:v>0.2258804377386195</x:v>
      </x:c>
      <x:c r="D21" s="44" t="str">
        <x:f>'Cohort Evaluation'!L13</x:f>
        <x:v>7.6764702408837e-05</x:v>
      </x:c>
    </x:row>
    <x:row r="22">
      <x:c r="A22" s="41" t="str">
        <x:f>'Cohort Evaluation'!A14</x:f>
        <x:v>old_monoallelic</x:v>
      </x:c>
      <x:c r="B22" s="41" t="str">
        <x:f>'Cohort Evaluation'!I14</x:f>
        <x:v>covid_nonspike</x:v>
      </x:c>
      <x:c r="C22" s="44" t="str">
        <x:f>'Cohort Evaluation'!J14</x:f>
        <x:v>0.5781921057822585</x:v>
      </x:c>
      <x:c r="D22" s="44" t="str">
        <x:f>'Cohort Evaluation'!L14</x:f>
        <x:v>0.2530715722592049</x:v>
      </x:c>
    </x:row>
    <x:row r="23">
      <x:c r="A23" s="41" t="str">
        <x:f>'Cohort Evaluation'!A15</x:f>
        <x:v>old_monoallelic</x:v>
      </x:c>
      <x:c r="B23" s="41" t="str">
        <x:f>'Cohort Evaluation'!I15</x:f>
        <x:v>covid_spike</x:v>
      </x:c>
      <x:c r="C23" s="44" t="str">
        <x:f>'Cohort Evaluation'!J15</x:f>
        <x:v>0.6611880486098533</x:v>
      </x:c>
      <x:c r="D23" s="44" t="str">
        <x:f>'Cohort Evaluation'!L15</x:f>
        <x:v>0.5730544084590765</x:v>
      </x:c>
    </x:row>
    <x:row r="24">
      <x:c r="A24" s="41" t="str">
        <x:f>'Cohort Evaluation'!A16</x:f>
        <x:v>old_monoallelic</x:v>
      </x:c>
      <x:c r="B24" s="41" t="str">
        <x:f>'Cohort Evaluation'!I16</x:f>
        <x:v>pdac</x:v>
      </x:c>
      <x:c r="C24" s="44" t="str">
        <x:f>'Cohort Evaluation'!J16</x:f>
        <x:v>0.1965079683238353</x:v>
      </x:c>
      <x:c r="D24" s="44" t="str">
        <x:f>'Cohort Evaluation'!L16</x:f>
        <x:v>0.0</x:v>
      </x:c>
    </x:row>
    <x:row r="26">
      <x:c r="A26" s="32" t="str">
        <x:v>AUROC-selected parameters: model-specific evaluation</x:v>
      </x:c>
      <x:c r="B26" s="32"/>
      <x:c r="C26" s="32"/>
      <x:c r="D26" s="32"/>
    </x:row>
    <x:row r="27">
      <x:c r="A27" s="40" t="str">
        <x:v>Model</x:v>
      </x:c>
      <x:c r="B27" s="40" t="str">
        <x:v>Evaluation cohort</x:v>
      </x:c>
      <x:c r="C27" s="40" t="str">
        <x:v>AUROC</x:v>
      </x:c>
      <x:c r="D27" s="40" t="str">
        <x:v>AUROC fractional rank</x:v>
      </x:c>
    </x:row>
    <x:row r="28">
      <x:c r="A28" s="41" t="str">
        <x:f>'Cohort Evaluation'!A17</x:f>
        <x:v>focal_hla</x:v>
      </x:c>
      <x:c r="B28" s="41" t="str">
        <x:f>'Cohort Evaluation'!I17</x:f>
        <x:v>covid_nonspike</x:v>
      </x:c>
      <x:c r="C28" s="44" t="str">
        <x:f>'Cohort Evaluation'!N17</x:f>
        <x:v>0.7290896743422092</x:v>
      </x:c>
      <x:c r="D28" s="44" t="str">
        <x:f>'Cohort Evaluation'!P17</x:f>
        <x:v>0.22947922038555563</x:v>
      </x:c>
    </x:row>
    <x:row r="29">
      <x:c r="A29" s="41" t="str">
        <x:f>'Cohort Evaluation'!A18</x:f>
        <x:v>focal_hla</x:v>
      </x:c>
      <x:c r="B29" s="41" t="str">
        <x:f>'Cohort Evaluation'!I18</x:f>
        <x:v>covid_spike</x:v>
      </x:c>
      <x:c r="C29" s="44" t="str">
        <x:f>'Cohort Evaluation'!N18</x:f>
        <x:v>0.558510380805121</x:v>
      </x:c>
      <x:c r="D29" s="44" t="str">
        <x:f>'Cohort Evaluation'!P18</x:f>
        <x:v>0.21729331595957846</x:v>
      </x:c>
    </x:row>
    <x:row r="30">
      <x:c r="A30" s="41" t="str">
        <x:f>'Cohort Evaluation'!A19</x:f>
        <x:v>focal_hla</x:v>
      </x:c>
      <x:c r="B30" s="41" t="str">
        <x:f>'Cohort Evaluation'!I19</x:f>
        <x:v>pdac</x:v>
      </x:c>
      <x:c r="C30" s="44" t="str">
        <x:f>'Cohort Evaluation'!N19</x:f>
        <x:v>0.7279176201372998</x:v>
      </x:c>
      <x:c r="D30" s="44" t="str">
        <x:f>'Cohort Evaluation'!P19</x:f>
        <x:v>8.857465662558115e-05</x:v>
      </x:c>
    </x:row>
    <x:row r="31">
      <x:c r="A31" s="41" t="str">
        <x:f>'Cohort Evaluation'!A20</x:f>
        <x:v>full_hla</x:v>
      </x:c>
      <x:c r="B31" s="41" t="str">
        <x:f>'Cohort Evaluation'!I20</x:f>
        <x:v>covid_nonspike</x:v>
      </x:c>
      <x:c r="C31" s="44" t="str">
        <x:f>'Cohort Evaluation'!N20</x:f>
        <x:v>0.7331217031491835</x:v>
      </x:c>
      <x:c r="D31" s="44" t="str">
        <x:f>'Cohort Evaluation'!P20</x:f>
        <x:v>0.24353503422918396</x:v>
      </x:c>
    </x:row>
    <x:row r="32">
      <x:c r="A32" s="41" t="str">
        <x:f>'Cohort Evaluation'!A21</x:f>
        <x:v>full_hla</x:v>
      </x:c>
      <x:c r="B32" s="41" t="str">
        <x:f>'Cohort Evaluation'!I21</x:f>
        <x:v>covid_spike</x:v>
      </x:c>
      <x:c r="C32" s="44" t="str">
        <x:f>'Cohort Evaluation'!N21</x:f>
        <x:v>0.5625738587663771</x:v>
      </x:c>
      <x:c r="D32" s="44" t="str">
        <x:f>'Cohort Evaluation'!P21</x:f>
        <x:v>0.1838770505033009</x:v>
      </x:c>
    </x:row>
    <x:row r="33">
      <x:c r="A33" s="41" t="str">
        <x:f>'Cohort Evaluation'!A22</x:f>
        <x:v>full_hla</x:v>
      </x:c>
      <x:c r="B33" s="41" t="str">
        <x:f>'Cohort Evaluation'!I22</x:f>
        <x:v>pdac</x:v>
      </x:c>
      <x:c r="C33" s="44" t="str">
        <x:f>'Cohort Evaluation'!N22</x:f>
        <x:v>0.7292906178489702</x:v>
      </x:c>
      <x:c r="D33" s="44" t="str">
        <x:f>'Cohort Evaluation'!P22</x:f>
        <x:v>3.542986265023246e-05</x:v>
      </x:c>
    </x:row>
    <x:row r="34">
      <x:c r="A34" s="41" t="str">
        <x:f>'Cohort Evaluation'!A23</x:f>
        <x:v>full_q_mono_pn</x:v>
      </x:c>
      <x:c r="B34" s="41" t="str">
        <x:f>'Cohort Evaluation'!I23</x:f>
        <x:v>covid_nonspike</x:v>
      </x:c>
      <x:c r="C34" s="44" t="str">
        <x:f>'Cohort Evaluation'!N23</x:f>
        <x:v>0.7342224959727092</x:v>
      </x:c>
      <x:c r="D34" s="44" t="str">
        <x:f>'Cohort Evaluation'!P23</x:f>
        <x:v>0.23682894855977607</x:v>
      </x:c>
    </x:row>
    <x:row r="35">
      <x:c r="A35" s="41" t="str">
        <x:f>'Cohort Evaluation'!A24</x:f>
        <x:v>full_q_mono_pn</x:v>
      </x:c>
      <x:c r="B35" s="41" t="str">
        <x:f>'Cohort Evaluation'!I24</x:f>
        <x:v>covid_spike</x:v>
      </x:c>
      <x:c r="C35" s="44" t="str">
        <x:f>'Cohort Evaluation'!N24</x:f>
        <x:v>0.5615202590146849</x:v>
      </x:c>
      <x:c r="D35" s="44" t="str">
        <x:f>'Cohort Evaluation'!P24</x:f>
        <x:v>0.19568897304574784</x:v>
      </x:c>
    </x:row>
    <x:row r="36">
      <x:c r="A36" s="41" t="str">
        <x:f>'Cohort Evaluation'!A25</x:f>
        <x:v>full_q_mono_pn</x:v>
      </x:c>
      <x:c r="B36" s="41" t="str">
        <x:f>'Cohort Evaluation'!I25</x:f>
        <x:v>pdac</x:v>
      </x:c>
      <x:c r="C36" s="44" t="str">
        <x:f>'Cohort Evaluation'!N25</x:f>
        <x:v>0.7105263157894737</x:v>
      </x:c>
      <x:c r="D36" s="44" t="str">
        <x:f>'Cohort Evaluation'!P25</x:f>
        <x:v>3.542986265023246e-05</x:v>
      </x:c>
    </x:row>
    <x:row r="37">
      <x:c r="A37" s="41" t="str">
        <x:f>'Cohort Evaluation'!A26</x:f>
        <x:v>mono_q_full_pn</x:v>
      </x:c>
      <x:c r="B37" s="41" t="str">
        <x:f>'Cohort Evaluation'!I26</x:f>
        <x:v>covid_nonspike</x:v>
      </x:c>
      <x:c r="C37" s="44" t="str">
        <x:f>'Cohort Evaluation'!N26</x:f>
        <x:v>0.7391752740137085</x:v>
      </x:c>
      <x:c r="D37" s="44" t="str">
        <x:f>'Cohort Evaluation'!P26</x:f>
        <x:v>0.2288139262980124</x:v>
      </x:c>
    </x:row>
    <x:row r="38">
      <x:c r="A38" s="41" t="str">
        <x:f>'Cohort Evaluation'!A27</x:f>
        <x:v>mono_q_full_pn</x:v>
      </x:c>
      <x:c r="B38" s="41" t="str">
        <x:f>'Cohort Evaluation'!I27</x:f>
        <x:v>covid_spike</x:v>
      </x:c>
      <x:c r="C38" s="44" t="str">
        <x:f>'Cohort Evaluation'!N27</x:f>
        <x:v>0.5664401427200528</x:v>
      </x:c>
      <x:c r="D38" s="44" t="str">
        <x:f>'Cohort Evaluation'!P27</x:f>
        <x:v>0.3072772937883578</x:v>
      </x:c>
    </x:row>
    <x:row r="39">
      <x:c r="A39" s="41" t="str">
        <x:f>'Cohort Evaluation'!A28</x:f>
        <x:v>mono_q_full_pn</x:v>
      </x:c>
      <x:c r="B39" s="41" t="str">
        <x:f>'Cohort Evaluation'!I28</x:f>
        <x:v>pdac</x:v>
      </x:c>
      <x:c r="C39" s="44" t="str">
        <x:f>'Cohort Evaluation'!N28</x:f>
        <x:v>0.7032036613272311</x:v>
      </x:c>
      <x:c r="D39" s="44" t="str">
        <x:f>'Cohort Evaluation'!P28</x:f>
        <x:v>7.6764702408837e-05</x:v>
      </x:c>
    </x:row>
    <x:row r="40">
      <x:c r="A40" s="41" t="str">
        <x:f>'Cohort Evaluation'!A29</x:f>
        <x:v>old_monoallelic</x:v>
      </x:c>
      <x:c r="B40" s="41" t="str">
        <x:f>'Cohort Evaluation'!I29</x:f>
        <x:v>covid_nonspike</x:v>
      </x:c>
      <x:c r="C40" s="44" t="str">
        <x:f>'Cohort Evaluation'!N29</x:f>
        <x:v>0.7377262389841751</x:v>
      </x:c>
      <x:c r="D40" s="44" t="str">
        <x:f>'Cohort Evaluation'!P29</x:f>
        <x:v>0.22195234289808402</x:v>
      </x:c>
    </x:row>
    <x:row r="41">
      <x:c r="A41" s="41" t="str">
        <x:f>'Cohort Evaluation'!A30</x:f>
        <x:v>old_monoallelic</x:v>
      </x:c>
      <x:c r="B41" s="41" t="str">
        <x:f>'Cohort Evaluation'!I30</x:f>
        <x:v>covid_spike</x:v>
      </x:c>
      <x:c r="C41" s="44" t="str">
        <x:f>'Cohort Evaluation'!N30</x:f>
        <x:v>0.5637840746973748</x:v>
      </x:c>
      <x:c r="D41" s="44" t="str">
        <x:f>'Cohort Evaluation'!P30</x:f>
        <x:v>0.27704381099349273</x:v>
      </x:c>
    </x:row>
    <x:row r="42">
      <x:c r="A42" s="41" t="str">
        <x:f>'Cohort Evaluation'!A31</x:f>
        <x:v>old_monoallelic</x:v>
      </x:c>
      <x:c r="B42" s="41" t="str">
        <x:f>'Cohort Evaluation'!I31</x:f>
        <x:v>pdac</x:v>
      </x:c>
      <x:c r="C42" s="44" t="str">
        <x:f>'Cohort Evaluation'!N31</x:f>
        <x:v>0.6958810068649885</x:v>
      </x:c>
      <x:c r="D42" s="44" t="str">
        <x:f>'Cohort Evaluation'!P31</x:f>
        <x:v>5.511311967813938e-05</x:v>
      </x:c>
    </x:row>
    <x:row r="44">
      <x:c r="A44" s="32" t="str">
        <x:v>Interpretation</x:v>
      </x:c>
      <x:c r="B44" s="32"/>
      <x:c r="C44" s="32"/>
      <x:c r="D44" s="32"/>
    </x:row>
    <x:row r="45">
      <x:c r="A45" s="82" t="str">
        <x:v>Each row is one component model and one evaluation cohort; no metric or rank is averaged across models. Fractional rank is oriented 0 = best and 1 = worst within the frozen 254,024-triple grid. COVID metrics were not used for selection. COVID spike and non-spike are reported separately. Because COVID informed prior development of the rule and grid, this is a directional transport analysis rather than independent external validation.</x:v>
      </x:c>
      <x:c r="B45" s="83"/>
      <x:c r="C45" s="83"/>
      <x:c r="D45" s="84"/>
    </x:row>
    <x:row r="46">
      <x:c r="A46" s="85"/>
      <x:c r="B46" s="86"/>
      <x:c r="C46" s="86"/>
      <x:c r="D46" s="87"/>
    </x:row>
    <x:row r="47">
      <x:c r="A47" s="85"/>
      <x:c r="B47" s="86"/>
      <x:c r="C47" s="86"/>
      <x:c r="D47" s="87"/>
    </x:row>
    <x:row r="48">
      <x:c r="A48" s="88"/>
      <x:c r="B48" s="89"/>
      <x:c r="C48" s="89"/>
      <x:c r="D48" s="90"/>
    </x:row>
  </x:sheetData>
  <x:mergeCells>
    <x:mergeCell ref="A1:D1"/>
    <x:mergeCell ref="A2:D2"/>
    <x:mergeCell ref="A8:D8"/>
    <x:mergeCell ref="A26:D26"/>
    <x:mergeCell ref="A44:D44"/>
    <x:mergeCell ref="A45:D48"/>
  </x:mergeCells>
  <x:conditionalFormatting sqref="D10:D24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D28:D42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122" t="str">
        <x:v>Methodological note</x:v>
      </x:c>
      <x:c r="B1" s="122" t="str">
        <x:v>Detail</x:v>
      </x:c>
    </x:row>
    <x:row r="2" ht="34" customHeight="1">
      <x:c r="A2" s="115" t="str">
        <x:v>Selection data</x:v>
      </x:c>
      <x:c r="B2" s="41" t="str">
        <x:v>PDAC only; one triple selected separately for each component model and PR/AUROC branch.</x:v>
      </x:c>
    </x:row>
    <x:row r="3" ht="34" customHeight="1">
      <x:c r="A3" s="115" t="str">
        <x:v>Frozen grid</x:v>
      </x:c>
      <x:c r="B3" s="41" t="str">
        <x:v>254,024 joint (q, c, kappa) triples inherited unchanged from the v2 self-gated analysis.</x:v>
      </x:c>
    </x:row>
    <x:row r="4" ht="34" customHeight="1">
      <x:c r="A4" s="115" t="str">
        <x:v>Evaluation data</x:v>
      </x:c>
      <x:c r="B4" s="41" t="str">
        <x:v>PDAC, COVID spike, and COVID non-spike; average precision and AUROC reported separately for every component model.</x:v>
      </x:c>
    </x:row>
    <x:row r="5" ht="34" customHeight="1">
      <x:c r="A5" s="115" t="str">
        <x:v>Aggregation</x:v>
      </x:c>
      <x:c r="B5" s="41" t="str">
        <x:v>None across component models; every model-cohort result remains a distinct row.</x:v>
      </x:c>
    </x:row>
    <x:row r="6" ht="34" customHeight="1">
      <x:c r="A6" s="115" t="str">
        <x:v>Rank orientation</x:v>
      </x:c>
      <x:c r="B6" s="41" t="str">
        <x:v>Fractional rank 0 is best and 1 is worst within the complete joint grid for the named cohort and metric.</x:v>
      </x:c>
    </x:row>
    <x:row r="7" ht="34" customHeight="1">
      <x:c r="A7" s="115" t="str">
        <x:v>COVID separation</x:v>
      </x:c>
      <x:c r="B7" s="41" t="str">
        <x:v>Spike and non-spike remain separate because their endpoint sets and label distributions differ.</x:v>
      </x:c>
    </x:row>
    <x:row r="8" ht="34" customHeight="1">
      <x:c r="A8" s="116" t="str">
        <x:v>Evidential status</x:v>
      </x:c>
      <x:c r="B8" s="117" t="str">
        <x:v>Directional transport analysis, not independent external validation, because COVID informed prior development of the function class and grid.</x:v>
      </x:c>
    </x:row>
  </x:sheetData>
  <x:pageMargins left="0.7" right="0.7" top="0.75" bottom="0.75" header="0.3" footer="0.3"/>
</x:worksheet>
</file>